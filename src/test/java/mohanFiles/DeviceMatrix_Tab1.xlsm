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18800" windowHeight="8240"/>
  </bookViews>
  <sheets>
    <sheet name="DeviceOSBrowserStatistics" sheetId="1" r:id="rId1"/>
    <sheet name="Sheet2" sheetId="2" r:id="rId2"/>
    <sheet name="Sheet3" sheetId="3" r:id="rId3"/>
  </sheets>
  <definedNames>
    <definedName name="_xlnm._FilterDatabase" localSheetId="1" hidden="1">Sheet2!$A$1:$C$1</definedName>
    <definedName name="_xlnm._FilterDatabase" localSheetId="2" hidden="1">Sheet3!$A$1:$J$1</definedName>
  </definedNames>
  <calcPr calcId="125725"/>
</workbook>
</file>

<file path=xl/calcChain.xml><?xml version="1.0" encoding="utf-8"?>
<calcChain xmlns="http://schemas.openxmlformats.org/spreadsheetml/2006/main">
  <c r="C4" i="2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3"/>
  <c r="C2"/>
  <c r="J14" i="1"/>
  <c r="J13"/>
  <c r="J12"/>
  <c r="J11"/>
  <c r="J10"/>
  <c r="J9"/>
  <c r="J8"/>
  <c r="J7"/>
  <c r="J6"/>
  <c r="J5"/>
  <c r="J4"/>
  <c r="J3"/>
  <c r="C54"/>
  <c r="B51" s="1"/>
  <c r="I12" s="1"/>
  <c r="C14" i="3"/>
  <c r="B11" s="1"/>
  <c r="H3" i="2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2"/>
  <c r="B50" i="1" l="1"/>
  <c r="I11" s="1"/>
  <c r="F12"/>
  <c r="G12"/>
  <c r="C12"/>
  <c r="H12"/>
  <c r="D12"/>
  <c r="E12"/>
  <c r="B3" i="3"/>
  <c r="B42" i="1"/>
  <c r="I3" s="1"/>
  <c r="B46"/>
  <c r="I7" s="1"/>
  <c r="B5" i="3"/>
  <c r="B9"/>
  <c r="B45" i="1"/>
  <c r="I6" s="1"/>
  <c r="B49"/>
  <c r="I10" s="1"/>
  <c r="B53"/>
  <c r="I14" s="1"/>
  <c r="B2" i="3"/>
  <c r="B12"/>
  <c r="B44" i="1"/>
  <c r="I5" s="1"/>
  <c r="B48"/>
  <c r="I9" s="1"/>
  <c r="B52"/>
  <c r="I13" s="1"/>
  <c r="B6" i="3"/>
  <c r="B43" i="1"/>
  <c r="I4" s="1"/>
  <c r="B47"/>
  <c r="I8" s="1"/>
  <c r="B7" i="3"/>
  <c r="B10"/>
  <c r="B13"/>
  <c r="B4"/>
  <c r="B8"/>
  <c r="B12" i="1" l="1"/>
  <c r="H7"/>
  <c r="D7"/>
  <c r="E7"/>
  <c r="F7"/>
  <c r="G7"/>
  <c r="C7"/>
  <c r="F6"/>
  <c r="G6"/>
  <c r="C6"/>
  <c r="H6"/>
  <c r="D6"/>
  <c r="E6"/>
  <c r="F4"/>
  <c r="G4"/>
  <c r="C4"/>
  <c r="H4"/>
  <c r="D4"/>
  <c r="E4"/>
  <c r="H5"/>
  <c r="D5"/>
  <c r="E5"/>
  <c r="F5"/>
  <c r="G5"/>
  <c r="C5"/>
  <c r="F10"/>
  <c r="G10"/>
  <c r="C10"/>
  <c r="H10"/>
  <c r="D10"/>
  <c r="E10"/>
  <c r="H11"/>
  <c r="D11"/>
  <c r="E11"/>
  <c r="F11"/>
  <c r="G11"/>
  <c r="C11"/>
  <c r="F8"/>
  <c r="G8"/>
  <c r="C8"/>
  <c r="H8"/>
  <c r="D8"/>
  <c r="E8"/>
  <c r="F14"/>
  <c r="G14"/>
  <c r="C14"/>
  <c r="H14"/>
  <c r="D14"/>
  <c r="E14"/>
  <c r="H9"/>
  <c r="D9"/>
  <c r="E9"/>
  <c r="F9"/>
  <c r="G9"/>
  <c r="C9"/>
  <c r="H13"/>
  <c r="D13"/>
  <c r="E13"/>
  <c r="F13"/>
  <c r="G13"/>
  <c r="C13"/>
  <c r="H3"/>
  <c r="D3"/>
  <c r="E3"/>
  <c r="F3"/>
  <c r="G3"/>
  <c r="C3"/>
  <c r="B54"/>
  <c r="B7" l="1"/>
  <c r="B9"/>
  <c r="B5"/>
  <c r="B3"/>
  <c r="B13"/>
  <c r="B11"/>
  <c r="B14"/>
  <c r="B6"/>
  <c r="B8"/>
  <c r="B10"/>
  <c r="B4"/>
  <c r="B15" l="1"/>
</calcChain>
</file>

<file path=xl/sharedStrings.xml><?xml version="1.0" encoding="utf-8"?>
<sst xmlns="http://schemas.openxmlformats.org/spreadsheetml/2006/main" count="214" uniqueCount="94">
  <si>
    <t>Market Share</t>
  </si>
  <si>
    <t>Cumulative %</t>
  </si>
  <si>
    <t>Device Usage</t>
  </si>
  <si>
    <t>9.X</t>
  </si>
  <si>
    <t>8.X</t>
  </si>
  <si>
    <t>7.X</t>
  </si>
  <si>
    <t>6.X</t>
  </si>
  <si>
    <t>5.X</t>
  </si>
  <si>
    <t>4.X</t>
  </si>
  <si>
    <t>iPad Device</t>
  </si>
  <si>
    <t>iPad Devices</t>
  </si>
  <si>
    <t>iPad 2G</t>
  </si>
  <si>
    <t>iPad 2G + iOS 9.x</t>
  </si>
  <si>
    <t>iPad Mini</t>
  </si>
  <si>
    <t>iPad Air + iOS 9.x</t>
  </si>
  <si>
    <t>iPad Air</t>
  </si>
  <si>
    <t>iPad Mini + iOS 9.x</t>
  </si>
  <si>
    <t>iPad Air 2</t>
  </si>
  <si>
    <t>iPad Air 2 + iOS 9.x</t>
  </si>
  <si>
    <t>iPad 4G</t>
  </si>
  <si>
    <t>iPad 3G + iOS 9.x</t>
  </si>
  <si>
    <t>iPad Mini 2</t>
  </si>
  <si>
    <t>iPad 4G + iOS 9.x</t>
  </si>
  <si>
    <t>iPad 3G</t>
  </si>
  <si>
    <t>iPad Mini 2 + iOS 9.x</t>
  </si>
  <si>
    <t>iPad 1G</t>
  </si>
  <si>
    <t>iPad 2G + iOS 8.x</t>
  </si>
  <si>
    <t>iPad Mini 3</t>
  </si>
  <si>
    <t>iPad 1G + iOS 5.x</t>
  </si>
  <si>
    <t>iPad Pro</t>
  </si>
  <si>
    <t>iPad 3G + iOS 8.x</t>
  </si>
  <si>
    <t>iPad Air + iOS 8.x</t>
  </si>
  <si>
    <t>iPad 4G + iOS 8.x</t>
  </si>
  <si>
    <t>iPad 2G + iOS 7.x</t>
  </si>
  <si>
    <t>iPad Air 2 + iOS 8.x</t>
  </si>
  <si>
    <t>iPad Pro + iOS 9.x</t>
  </si>
  <si>
    <t>iPad Mini 2 + iOS 8.x</t>
  </si>
  <si>
    <t>iPad 3G + iOS 7.x</t>
  </si>
  <si>
    <t>iPad Mini + iOS 7.x</t>
  </si>
  <si>
    <t>Raw Data from Website Below</t>
  </si>
  <si>
    <t>Device</t>
  </si>
  <si>
    <t>Android Device</t>
  </si>
  <si>
    <t>Samsung Galaxy S5</t>
  </si>
  <si>
    <t>Samsung Galaxy S6</t>
  </si>
  <si>
    <t>Samsung Galaxy S4</t>
  </si>
  <si>
    <t>Samsung Galaxy Core Prime</t>
  </si>
  <si>
    <t>Samsung Galaxy S3</t>
  </si>
  <si>
    <t>Samsung Galaxy Note4</t>
  </si>
  <si>
    <t>Samsung Galaxy Note5</t>
  </si>
  <si>
    <t>Samsung Galaxy Grand Prime</t>
  </si>
  <si>
    <t>Samsung Galaxy Note3</t>
  </si>
  <si>
    <t>LG G Stylo</t>
  </si>
  <si>
    <t>Android OS</t>
  </si>
  <si>
    <t>5.0 - 5.1 (Lollypop)</t>
  </si>
  <si>
    <t>4.4 (KitKat)</t>
  </si>
  <si>
    <t>4.1 - 4.3 (JellyBean)</t>
  </si>
  <si>
    <t>6.0 (Marshmallow)</t>
  </si>
  <si>
    <t>2.3 (Gingerbread)</t>
  </si>
  <si>
    <t>4.0 (ICS)</t>
  </si>
  <si>
    <t>2.2 (Froyo)</t>
  </si>
  <si>
    <t>3.0 - 3.2 (Honeycomb)</t>
  </si>
  <si>
    <t>iPad Mini 3 + iOS 9.x</t>
  </si>
  <si>
    <t>iPad Mini + iOS 8.x</t>
  </si>
  <si>
    <t>iPad Mini 3 + iOS 8.x</t>
  </si>
  <si>
    <t>iPad 4G + iOS 7.x</t>
  </si>
  <si>
    <t>iPad 2G + iOS 6.x</t>
  </si>
  <si>
    <t>iPad Pro 9.7</t>
  </si>
  <si>
    <t>iPad Pro 9.7 + iOS 9.x</t>
  </si>
  <si>
    <t>10.X</t>
  </si>
  <si>
    <t>iPad Mini 4</t>
  </si>
  <si>
    <t>iPad Air 2 + iOS 10.x</t>
  </si>
  <si>
    <t>iPad Mini 4 + iOS 10.x</t>
  </si>
  <si>
    <t>iPad Mini 4 + iOS 9.x</t>
  </si>
  <si>
    <t>iPad 4G + iOS 6.x</t>
  </si>
  <si>
    <t>iPad Mini 2 + iOS 10.x</t>
  </si>
  <si>
    <t>iPad Air + iOS 10.x</t>
  </si>
  <si>
    <t>iPad 4G + iOS 10.x</t>
  </si>
  <si>
    <t>iPad Pro + iOS 10.x</t>
  </si>
  <si>
    <t>iPad Mini 3 + iOS 10.x</t>
  </si>
  <si>
    <t>iPad Air + iOS 7.x</t>
  </si>
  <si>
    <t>iPad 5</t>
  </si>
  <si>
    <t>iPad 5 + iOS 10.x</t>
  </si>
  <si>
    <t>iPad 3G + iOS 6.x</t>
  </si>
  <si>
    <t>iPad 2G + iOS 5.x</t>
  </si>
  <si>
    <t>11.X</t>
  </si>
  <si>
    <t>iPad Pro 2</t>
  </si>
  <si>
    <t>iPad Mini 2 + iOS 11.x</t>
  </si>
  <si>
    <t>iPad Air 2 + iOS 11.x</t>
  </si>
  <si>
    <t>iPad Air + iOS 11.x</t>
  </si>
  <si>
    <t>iPad Pro 2 + iOS 11.x</t>
  </si>
  <si>
    <t>iPad Pro + iOS 11.x</t>
  </si>
  <si>
    <t>iPad 5 + iOS 11.x</t>
  </si>
  <si>
    <t>iPad Mini 4 + iOS 11.x</t>
  </si>
  <si>
    <t>iPad Pro 2 + iOS 10.x</t>
  </si>
</sst>
</file>

<file path=xl/styles.xml><?xml version="1.0" encoding="utf-8"?>
<styleSheet xmlns="http://schemas.openxmlformats.org/spreadsheetml/2006/main">
  <fonts count="11">
    <font>
      <sz val="11"/>
      <color indexed="8"/>
      <name val="Calibri"/>
      <family val="2"/>
      <charset val="134"/>
    </font>
    <font>
      <sz val="10"/>
      <color indexed="8"/>
      <name val="Arial"/>
      <family val="2"/>
      <charset val="134"/>
    </font>
    <font>
      <sz val="10"/>
      <color indexed="63"/>
      <name val="Kepler-std"/>
      <charset val="134"/>
    </font>
    <font>
      <sz val="10"/>
      <color indexed="63"/>
      <name val="Arial"/>
      <family val="2"/>
      <charset val="134"/>
    </font>
    <font>
      <sz val="10"/>
      <color indexed="63"/>
      <name val="Open Sans"/>
      <charset val="134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sz val="11"/>
      <color rgb="FF444444"/>
      <name val="Arial"/>
      <family val="2"/>
    </font>
    <font>
      <sz val="11"/>
      <color indexed="8"/>
      <name val="Arial"/>
      <family val="2"/>
    </font>
    <font>
      <sz val="12.1"/>
      <color rgb="FF000000"/>
      <name val="Calibri"/>
      <family val="2"/>
    </font>
    <font>
      <b/>
      <sz val="10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2CC"/>
        <bgColor indexed="64"/>
      </patternFill>
    </fill>
  </fills>
  <borders count="18">
    <border>
      <left/>
      <right/>
      <top/>
      <bottom/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8"/>
      </bottom>
      <diagonal/>
    </border>
    <border>
      <left style="medium">
        <color indexed="22"/>
      </left>
      <right style="medium">
        <color indexed="8"/>
      </right>
      <top style="medium">
        <color indexed="22"/>
      </top>
      <bottom style="medium">
        <color indexed="8"/>
      </bottom>
      <diagonal/>
    </border>
    <border>
      <left style="medium">
        <color indexed="22"/>
      </left>
      <right style="medium">
        <color indexed="8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9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22"/>
      </left>
      <right style="medium">
        <color indexed="22"/>
      </right>
      <top/>
      <bottom/>
      <diagonal/>
    </border>
    <border>
      <left style="medium">
        <color indexed="22"/>
      </left>
      <right style="medium">
        <color indexed="22"/>
      </right>
      <top style="medium">
        <color indexed="22"/>
      </top>
      <bottom/>
      <diagonal/>
    </border>
    <border>
      <left style="medium">
        <color indexed="22"/>
      </left>
      <right/>
      <top style="medium">
        <color indexed="22"/>
      </top>
      <bottom style="medium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22"/>
      </left>
      <right/>
      <top style="medium">
        <color indexed="22"/>
      </top>
      <bottom/>
      <diagonal/>
    </border>
    <border>
      <left/>
      <right style="medium">
        <color indexed="22"/>
      </right>
      <top style="medium">
        <color indexed="22"/>
      </top>
      <bottom style="medium">
        <color indexed="8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6" fillId="0" borderId="0"/>
  </cellStyleXfs>
  <cellXfs count="50">
    <xf numFmtId="0" fontId="0" fillId="0" borderId="0" xfId="0" applyAlignment="1"/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10" fontId="1" fillId="3" borderId="3" xfId="0" applyNumberFormat="1" applyFont="1" applyFill="1" applyBorder="1" applyAlignment="1">
      <alignment horizontal="right" wrapText="1"/>
    </xf>
    <xf numFmtId="0" fontId="1" fillId="4" borderId="3" xfId="0" applyFont="1" applyFill="1" applyBorder="1" applyAlignment="1">
      <alignment wrapText="1"/>
    </xf>
    <xf numFmtId="10" fontId="1" fillId="4" borderId="3" xfId="0" applyNumberFormat="1" applyFont="1" applyFill="1" applyBorder="1" applyAlignment="1">
      <alignment horizontal="right" wrapText="1"/>
    </xf>
    <xf numFmtId="0" fontId="1" fillId="0" borderId="4" xfId="0" applyFont="1" applyBorder="1" applyAlignment="1">
      <alignment wrapText="1"/>
    </xf>
    <xf numFmtId="0" fontId="2" fillId="5" borderId="1" xfId="0" applyFont="1" applyFill="1" applyBorder="1" applyAlignment="1">
      <alignment horizontal="center" wrapText="1"/>
    </xf>
    <xf numFmtId="10" fontId="2" fillId="6" borderId="1" xfId="0" applyNumberFormat="1" applyFont="1" applyFill="1" applyBorder="1" applyAlignment="1">
      <alignment horizontal="right" wrapText="1"/>
    </xf>
    <xf numFmtId="0" fontId="4" fillId="3" borderId="3" xfId="0" applyFont="1" applyFill="1" applyBorder="1" applyAlignment="1">
      <alignment wrapText="1"/>
    </xf>
    <xf numFmtId="10" fontId="4" fillId="3" borderId="3" xfId="0" applyNumberFormat="1" applyFont="1" applyFill="1" applyBorder="1" applyAlignment="1">
      <alignment horizontal="right" wrapText="1"/>
    </xf>
    <xf numFmtId="0" fontId="1" fillId="3" borderId="3" xfId="0" applyFont="1" applyFill="1" applyBorder="1" applyAlignment="1">
      <alignment horizontal="right" wrapText="1"/>
    </xf>
    <xf numFmtId="0" fontId="1" fillId="2" borderId="5" xfId="0" applyFont="1" applyFill="1" applyBorder="1" applyAlignment="1">
      <alignment wrapText="1"/>
    </xf>
    <xf numFmtId="0" fontId="1" fillId="0" borderId="1" xfId="0" applyFont="1" applyBorder="1" applyAlignment="1">
      <alignment horizontal="right" wrapText="1"/>
    </xf>
    <xf numFmtId="0" fontId="4" fillId="4" borderId="3" xfId="0" applyFont="1" applyFill="1" applyBorder="1" applyAlignment="1">
      <alignment wrapText="1"/>
    </xf>
    <xf numFmtId="10" fontId="4" fillId="4" borderId="3" xfId="0" applyNumberFormat="1" applyFont="1" applyFill="1" applyBorder="1" applyAlignment="1">
      <alignment horizontal="right" wrapText="1"/>
    </xf>
    <xf numFmtId="10" fontId="3" fillId="3" borderId="3" xfId="0" applyNumberFormat="1" applyFont="1" applyFill="1" applyBorder="1" applyAlignment="1">
      <alignment horizontal="right" wrapText="1"/>
    </xf>
    <xf numFmtId="10" fontId="3" fillId="4" borderId="3" xfId="0" applyNumberFormat="1" applyFont="1" applyFill="1" applyBorder="1" applyAlignment="1">
      <alignment horizontal="right" wrapText="1"/>
    </xf>
    <xf numFmtId="10" fontId="1" fillId="3" borderId="3" xfId="0" applyNumberFormat="1" applyFont="1" applyFill="1" applyBorder="1" applyAlignment="1">
      <alignment wrapText="1"/>
    </xf>
    <xf numFmtId="0" fontId="6" fillId="0" borderId="0" xfId="1"/>
    <xf numFmtId="10" fontId="1" fillId="0" borderId="1" xfId="0" applyNumberFormat="1" applyFont="1" applyBorder="1" applyAlignment="1">
      <alignment wrapText="1"/>
    </xf>
    <xf numFmtId="10" fontId="6" fillId="0" borderId="0" xfId="2" applyNumberFormat="1"/>
    <xf numFmtId="10" fontId="7" fillId="0" borderId="6" xfId="0" applyNumberFormat="1" applyFont="1" applyBorder="1" applyAlignment="1">
      <alignment horizontal="right" wrapText="1"/>
    </xf>
    <xf numFmtId="10" fontId="0" fillId="0" borderId="0" xfId="0" applyNumberFormat="1" applyAlignment="1"/>
    <xf numFmtId="10" fontId="8" fillId="7" borderId="6" xfId="0" applyNumberFormat="1" applyFont="1" applyFill="1" applyBorder="1" applyAlignment="1">
      <alignment horizontal="right"/>
    </xf>
    <xf numFmtId="10" fontId="9" fillId="8" borderId="6" xfId="0" applyNumberFormat="1" applyFont="1" applyFill="1" applyBorder="1" applyAlignment="1">
      <alignment horizontal="right"/>
    </xf>
    <xf numFmtId="0" fontId="9" fillId="8" borderId="6" xfId="0" applyFont="1" applyFill="1" applyBorder="1" applyAlignment="1"/>
    <xf numFmtId="10" fontId="9" fillId="8" borderId="7" xfId="0" applyNumberFormat="1" applyFont="1" applyFill="1" applyBorder="1" applyAlignment="1">
      <alignment horizontal="right"/>
    </xf>
    <xf numFmtId="0" fontId="9" fillId="8" borderId="8" xfId="0" applyFont="1" applyFill="1" applyBorder="1" applyAlignment="1"/>
    <xf numFmtId="10" fontId="9" fillId="8" borderId="8" xfId="0" applyNumberFormat="1" applyFont="1" applyFill="1" applyBorder="1" applyAlignment="1">
      <alignment horizontal="right"/>
    </xf>
    <xf numFmtId="10" fontId="9" fillId="8" borderId="9" xfId="0" applyNumberFormat="1" applyFont="1" applyFill="1" applyBorder="1" applyAlignment="1">
      <alignment horizontal="right"/>
    </xf>
    <xf numFmtId="0" fontId="10" fillId="9" borderId="6" xfId="0" applyFont="1" applyFill="1" applyBorder="1" applyAlignment="1">
      <alignment wrapText="1"/>
    </xf>
    <xf numFmtId="0" fontId="2" fillId="5" borderId="10" xfId="0" applyFont="1" applyFill="1" applyBorder="1" applyAlignment="1">
      <alignment horizontal="center" wrapText="1"/>
    </xf>
    <xf numFmtId="10" fontId="2" fillId="6" borderId="10" xfId="0" applyNumberFormat="1" applyFont="1" applyFill="1" applyBorder="1" applyAlignment="1">
      <alignment horizontal="right" wrapText="1"/>
    </xf>
    <xf numFmtId="0" fontId="6" fillId="0" borderId="0" xfId="1" applyBorder="1"/>
    <xf numFmtId="10" fontId="6" fillId="0" borderId="0" xfId="2" applyNumberFormat="1" applyBorder="1"/>
    <xf numFmtId="0" fontId="1" fillId="0" borderId="11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0" fillId="9" borderId="14" xfId="0" applyFont="1" applyFill="1" applyBorder="1" applyAlignment="1">
      <alignment wrapText="1"/>
    </xf>
    <xf numFmtId="10" fontId="8" fillId="7" borderId="14" xfId="0" applyNumberFormat="1" applyFont="1" applyFill="1" applyBorder="1" applyAlignment="1">
      <alignment horizontal="right"/>
    </xf>
    <xf numFmtId="10" fontId="8" fillId="7" borderId="15" xfId="0" applyNumberFormat="1" applyFont="1" applyFill="1" applyBorder="1" applyAlignment="1">
      <alignment horizontal="right"/>
    </xf>
    <xf numFmtId="0" fontId="10" fillId="9" borderId="13" xfId="0" applyFont="1" applyFill="1" applyBorder="1" applyAlignment="1">
      <alignment wrapText="1"/>
    </xf>
    <xf numFmtId="10" fontId="8" fillId="7" borderId="13" xfId="0" applyNumberFormat="1" applyFont="1" applyFill="1" applyBorder="1" applyAlignment="1">
      <alignment horizontal="right"/>
    </xf>
    <xf numFmtId="0" fontId="1" fillId="0" borderId="16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0" xfId="0" applyFont="1" applyBorder="1" applyAlignment="1">
      <alignment wrapText="1"/>
    </xf>
    <xf numFmtId="10" fontId="1" fillId="3" borderId="1" xfId="0" applyNumberFormat="1" applyFont="1" applyFill="1" applyBorder="1" applyAlignment="1">
      <alignment wrapText="1"/>
    </xf>
    <xf numFmtId="10" fontId="1" fillId="0" borderId="3" xfId="0" applyNumberFormat="1" applyFont="1" applyBorder="1" applyAlignment="1">
      <alignment wrapText="1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983"/>
  <sheetViews>
    <sheetView tabSelected="1" workbookViewId="0"/>
  </sheetViews>
  <sheetFormatPr defaultRowHeight="14.5"/>
  <cols>
    <col min="1" max="1" width="11.26953125" bestFit="1" customWidth="1"/>
    <col min="2" max="2" width="12" bestFit="1" customWidth="1"/>
    <col min="3" max="3" width="9" bestFit="1" customWidth="1"/>
    <col min="4" max="5" width="8" bestFit="1" customWidth="1"/>
    <col min="6" max="6" width="8.81640625" bestFit="1" customWidth="1"/>
    <col min="7" max="7" width="7" bestFit="1" customWidth="1"/>
    <col min="8" max="8" width="6.81640625" bestFit="1" customWidth="1"/>
    <col min="9" max="9" width="6.81640625" customWidth="1"/>
    <col min="10" max="10" width="6.453125" bestFit="1" customWidth="1"/>
    <col min="11" max="11" width="13.26953125" bestFit="1" customWidth="1"/>
    <col min="12" max="12" width="7.26953125" bestFit="1" customWidth="1"/>
    <col min="13" max="13" width="8.26953125" bestFit="1" customWidth="1"/>
    <col min="14" max="14" width="11.26953125" bestFit="1" customWidth="1"/>
    <col min="22" max="22" width="13.81640625" bestFit="1" customWidth="1"/>
    <col min="23" max="23" width="14.7265625" bestFit="1" customWidth="1"/>
  </cols>
  <sheetData>
    <row r="1" spans="1:18" ht="38.5" customHeight="1" thickBot="1">
      <c r="A1" s="2"/>
      <c r="B1" s="2"/>
      <c r="C1" s="2"/>
      <c r="D1" s="2"/>
      <c r="E1" s="2"/>
      <c r="F1" s="2"/>
      <c r="G1" s="2"/>
      <c r="H1" s="38"/>
      <c r="I1" s="38"/>
      <c r="J1" s="45"/>
      <c r="K1" s="47"/>
      <c r="L1" s="46"/>
      <c r="M1" s="2"/>
      <c r="N1" s="1"/>
      <c r="O1" s="1"/>
      <c r="P1" s="1"/>
      <c r="Q1" s="1"/>
      <c r="R1" s="1"/>
    </row>
    <row r="2" spans="1:18" ht="27" thickBot="1">
      <c r="A2" s="33" t="s">
        <v>9</v>
      </c>
      <c r="B2" s="33" t="s">
        <v>2</v>
      </c>
      <c r="C2" s="33" t="s">
        <v>84</v>
      </c>
      <c r="D2" s="33" t="s">
        <v>68</v>
      </c>
      <c r="E2" s="33" t="s">
        <v>3</v>
      </c>
      <c r="F2" s="33" t="s">
        <v>4</v>
      </c>
      <c r="G2" s="40" t="s">
        <v>5</v>
      </c>
      <c r="H2" s="43" t="s">
        <v>6</v>
      </c>
      <c r="I2" s="43" t="s">
        <v>7</v>
      </c>
      <c r="J2" s="43" t="s">
        <v>8</v>
      </c>
      <c r="L2" s="3" t="s">
        <v>10</v>
      </c>
      <c r="M2" s="3" t="s">
        <v>0</v>
      </c>
      <c r="N2" s="3" t="s">
        <v>1</v>
      </c>
      <c r="O2" s="1"/>
      <c r="P2" s="1"/>
      <c r="Q2" s="1"/>
      <c r="R2" s="1"/>
    </row>
    <row r="3" spans="1:18" ht="51.5" thickBot="1">
      <c r="A3" s="21" t="s">
        <v>11</v>
      </c>
      <c r="B3" s="24">
        <f>SUM(C3:I3)</f>
        <v>0.1438888888888889</v>
      </c>
      <c r="C3" s="26">
        <f t="shared" ref="C3:J3" si="0">$B$42*D42</f>
        <v>0</v>
      </c>
      <c r="D3" s="26">
        <f t="shared" si="0"/>
        <v>0</v>
      </c>
      <c r="E3" s="26">
        <f t="shared" si="0"/>
        <v>8.7716049382716058E-2</v>
      </c>
      <c r="F3" s="26">
        <f t="shared" si="0"/>
        <v>5.401234567901235E-2</v>
      </c>
      <c r="G3" s="41">
        <f t="shared" si="0"/>
        <v>8.6419753086419758E-4</v>
      </c>
      <c r="H3" s="44">
        <f t="shared" si="0"/>
        <v>1.0082304526748973E-3</v>
      </c>
      <c r="I3" s="44">
        <f t="shared" si="0"/>
        <v>2.8806584362139919E-4</v>
      </c>
      <c r="J3" s="44">
        <f t="shared" si="0"/>
        <v>0</v>
      </c>
      <c r="L3" s="20" t="s">
        <v>86</v>
      </c>
      <c r="M3" s="20">
        <v>1.8189300411522635E-3</v>
      </c>
      <c r="N3" s="20">
        <v>1.8189300411522635E-3</v>
      </c>
      <c r="O3" s="1"/>
      <c r="P3" s="1"/>
      <c r="Q3" s="1"/>
      <c r="R3" s="1"/>
    </row>
    <row r="4" spans="1:18" ht="39" thickBot="1">
      <c r="A4" s="21" t="s">
        <v>21</v>
      </c>
      <c r="B4" s="24">
        <f>SUM(C4:I4)</f>
        <v>0.10699588477366254</v>
      </c>
      <c r="C4" s="26">
        <f t="shared" ref="C4:J4" si="1">$B$43*D43</f>
        <v>1.8189300411522635E-3</v>
      </c>
      <c r="D4" s="26">
        <f t="shared" si="1"/>
        <v>0.10143209876543209</v>
      </c>
      <c r="E4" s="26">
        <f t="shared" si="1"/>
        <v>3.7448559670781897E-3</v>
      </c>
      <c r="F4" s="26">
        <f t="shared" si="1"/>
        <v>0</v>
      </c>
      <c r="G4" s="26">
        <f t="shared" si="1"/>
        <v>0</v>
      </c>
      <c r="H4" s="42">
        <f t="shared" si="1"/>
        <v>0</v>
      </c>
      <c r="I4" s="42">
        <f t="shared" si="1"/>
        <v>0</v>
      </c>
      <c r="J4" s="42">
        <f t="shared" si="1"/>
        <v>0</v>
      </c>
      <c r="L4" s="20" t="s">
        <v>87</v>
      </c>
      <c r="M4" s="20">
        <v>5.5967078189300419E-4</v>
      </c>
      <c r="N4" s="20">
        <v>2.3786008230452676E-3</v>
      </c>
      <c r="O4" s="1"/>
      <c r="P4" s="1"/>
      <c r="Q4" s="1"/>
      <c r="R4" s="1"/>
    </row>
    <row r="5" spans="1:18" ht="39" thickBot="1">
      <c r="A5" s="21" t="s">
        <v>17</v>
      </c>
      <c r="B5" s="24">
        <f t="shared" ref="B5:B14" si="2">SUM(C5:I5)</f>
        <v>0.14005761316872428</v>
      </c>
      <c r="C5" s="26">
        <f t="shared" ref="C5:J5" si="3">$B$44*D44</f>
        <v>5.5967078189300419E-4</v>
      </c>
      <c r="D5" s="26">
        <f t="shared" si="3"/>
        <v>0.13348148148148148</v>
      </c>
      <c r="E5" s="26">
        <f t="shared" si="3"/>
        <v>5.5967078189300412E-3</v>
      </c>
      <c r="F5" s="26">
        <f t="shared" si="3"/>
        <v>4.1975308641975311E-4</v>
      </c>
      <c r="G5" s="26">
        <f t="shared" si="3"/>
        <v>0</v>
      </c>
      <c r="H5" s="26">
        <f t="shared" si="3"/>
        <v>0</v>
      </c>
      <c r="I5" s="26">
        <f t="shared" si="3"/>
        <v>0</v>
      </c>
      <c r="J5" s="26">
        <f t="shared" si="3"/>
        <v>0</v>
      </c>
      <c r="L5" s="20" t="s">
        <v>88</v>
      </c>
      <c r="M5" s="20">
        <v>1.2839506172839506E-3</v>
      </c>
      <c r="N5" s="20">
        <v>3.6625514403292184E-3</v>
      </c>
      <c r="O5" s="1"/>
      <c r="P5" s="1"/>
      <c r="Q5" s="1"/>
      <c r="R5" s="1"/>
    </row>
    <row r="6" spans="1:18" ht="51.5" thickBot="1">
      <c r="A6" s="21" t="s">
        <v>15</v>
      </c>
      <c r="B6" s="24">
        <f t="shared" si="2"/>
        <v>0.21377777777777776</v>
      </c>
      <c r="C6" s="26">
        <f t="shared" ref="C6:J6" si="4">$B$45*D45</f>
        <v>1.2839506172839506E-3</v>
      </c>
      <c r="D6" s="26">
        <f t="shared" si="4"/>
        <v>0.20008230452674897</v>
      </c>
      <c r="E6" s="26">
        <f t="shared" si="4"/>
        <v>1.0271604938271605E-2</v>
      </c>
      <c r="F6" s="26">
        <f t="shared" si="4"/>
        <v>1.4979423868312757E-3</v>
      </c>
      <c r="G6" s="26">
        <f t="shared" si="4"/>
        <v>6.4197530864197529E-4</v>
      </c>
      <c r="H6" s="26">
        <f t="shared" si="4"/>
        <v>0</v>
      </c>
      <c r="I6" s="26">
        <f t="shared" si="4"/>
        <v>0</v>
      </c>
      <c r="J6" s="26">
        <f t="shared" si="4"/>
        <v>0</v>
      </c>
      <c r="L6" s="20" t="s">
        <v>89</v>
      </c>
      <c r="M6" s="20">
        <v>3.3127572016460908E-3</v>
      </c>
      <c r="N6" s="20">
        <v>6.9753086419753092E-3</v>
      </c>
      <c r="O6" s="1"/>
      <c r="P6" s="1"/>
      <c r="Q6" s="1"/>
      <c r="R6" s="1"/>
    </row>
    <row r="7" spans="1:18" ht="51.5" thickBot="1">
      <c r="A7" s="21" t="s">
        <v>19</v>
      </c>
      <c r="B7" s="24">
        <f t="shared" si="2"/>
        <v>7.4148148148148157E-2</v>
      </c>
      <c r="C7" s="26">
        <f t="shared" ref="C7:J7" si="5">$B$46*D46</f>
        <v>0</v>
      </c>
      <c r="D7" s="26">
        <f t="shared" si="5"/>
        <v>6.2296296296296294E-2</v>
      </c>
      <c r="E7" s="26">
        <f t="shared" si="5"/>
        <v>1.4814814814814814E-3</v>
      </c>
      <c r="F7" s="26">
        <f t="shared" si="5"/>
        <v>1.0222222222222223E-2</v>
      </c>
      <c r="G7" s="26">
        <f t="shared" si="5"/>
        <v>1.4814814814814815E-4</v>
      </c>
      <c r="H7" s="26">
        <f t="shared" si="5"/>
        <v>0</v>
      </c>
      <c r="I7" s="26">
        <f t="shared" si="5"/>
        <v>0</v>
      </c>
      <c r="J7" s="26">
        <f t="shared" si="5"/>
        <v>0</v>
      </c>
      <c r="L7" s="20" t="s">
        <v>90</v>
      </c>
      <c r="M7" s="20">
        <v>2.3868312757201649E-3</v>
      </c>
      <c r="N7" s="20">
        <v>9.3621399176954737E-3</v>
      </c>
      <c r="O7" s="1"/>
      <c r="P7" s="1"/>
      <c r="Q7" s="1"/>
      <c r="R7" s="1"/>
    </row>
    <row r="8" spans="1:18" ht="39" thickBot="1">
      <c r="A8" s="21" t="s">
        <v>13</v>
      </c>
      <c r="B8" s="24">
        <f t="shared" si="2"/>
        <v>8.2304526748971193E-2</v>
      </c>
      <c r="C8" s="26">
        <f t="shared" ref="C8:J8" si="6">$B$47*D47</f>
        <v>0</v>
      </c>
      <c r="D8" s="26">
        <f t="shared" si="6"/>
        <v>0</v>
      </c>
      <c r="E8" s="26">
        <f t="shared" si="6"/>
        <v>7.9588477366255142E-2</v>
      </c>
      <c r="F8" s="26">
        <f t="shared" si="6"/>
        <v>9.8765432098765434E-4</v>
      </c>
      <c r="G8" s="26">
        <f t="shared" si="6"/>
        <v>1.7283950617283952E-3</v>
      </c>
      <c r="H8" s="26">
        <f t="shared" si="6"/>
        <v>0</v>
      </c>
      <c r="I8" s="26">
        <f t="shared" si="6"/>
        <v>0</v>
      </c>
      <c r="J8" s="26">
        <f t="shared" si="6"/>
        <v>0</v>
      </c>
      <c r="L8" s="20" t="s">
        <v>91</v>
      </c>
      <c r="M8" s="20">
        <v>1.0082304526748973E-3</v>
      </c>
      <c r="N8" s="20">
        <v>1.037037037037037E-2</v>
      </c>
      <c r="O8" s="1"/>
      <c r="P8" s="1"/>
      <c r="Q8" s="1"/>
      <c r="R8" s="1"/>
    </row>
    <row r="9" spans="1:18" ht="51.5" thickBot="1">
      <c r="A9" s="21" t="s">
        <v>23</v>
      </c>
      <c r="B9" s="24">
        <f t="shared" si="2"/>
        <v>8.6419753086419762E-2</v>
      </c>
      <c r="C9" s="26">
        <f t="shared" ref="C9:J9" si="7">$B$48*D48</f>
        <v>0</v>
      </c>
      <c r="D9" s="26">
        <f t="shared" si="7"/>
        <v>0</v>
      </c>
      <c r="E9" s="26">
        <f t="shared" si="7"/>
        <v>7.1987654320987665E-2</v>
      </c>
      <c r="F9" s="26">
        <f t="shared" si="7"/>
        <v>2.0740740740740745E-3</v>
      </c>
      <c r="G9" s="26">
        <f t="shared" si="7"/>
        <v>0</v>
      </c>
      <c r="H9" s="26">
        <f t="shared" si="7"/>
        <v>1.2358024691358025E-2</v>
      </c>
      <c r="I9" s="26">
        <f t="shared" si="7"/>
        <v>0</v>
      </c>
      <c r="J9" s="26">
        <f t="shared" si="7"/>
        <v>0</v>
      </c>
      <c r="L9" s="20" t="s">
        <v>92</v>
      </c>
      <c r="M9" s="20">
        <v>2.3045267489711936E-4</v>
      </c>
      <c r="N9" s="20">
        <v>1.060082304526749E-2</v>
      </c>
      <c r="O9" s="1"/>
      <c r="P9" s="1"/>
      <c r="Q9" s="1"/>
      <c r="R9" s="1"/>
    </row>
    <row r="10" spans="1:18" ht="51.5" thickBot="1">
      <c r="A10" s="36" t="s">
        <v>85</v>
      </c>
      <c r="B10" s="24">
        <f t="shared" si="2"/>
        <v>2.0576131687242798E-2</v>
      </c>
      <c r="C10" s="26">
        <f t="shared" ref="C10:J10" si="8">$B$49*D49</f>
        <v>3.3127572016460908E-3</v>
      </c>
      <c r="D10" s="26">
        <f t="shared" si="8"/>
        <v>1.7263374485596707E-2</v>
      </c>
      <c r="E10" s="26">
        <f t="shared" si="8"/>
        <v>0</v>
      </c>
      <c r="F10" s="26">
        <f t="shared" si="8"/>
        <v>0</v>
      </c>
      <c r="G10" s="26">
        <f t="shared" si="8"/>
        <v>0</v>
      </c>
      <c r="H10" s="26">
        <f t="shared" si="8"/>
        <v>0</v>
      </c>
      <c r="I10" s="26">
        <f t="shared" si="8"/>
        <v>0</v>
      </c>
      <c r="J10" s="26">
        <f t="shared" si="8"/>
        <v>0</v>
      </c>
      <c r="L10" s="20" t="s">
        <v>74</v>
      </c>
      <c r="M10" s="20">
        <v>0.10143209876543209</v>
      </c>
      <c r="N10" s="20">
        <v>0.11203292181069958</v>
      </c>
      <c r="O10" s="1"/>
      <c r="P10" s="1"/>
      <c r="Q10" s="1"/>
      <c r="R10" s="1"/>
    </row>
    <row r="11" spans="1:18" ht="39" thickBot="1">
      <c r="A11" s="21" t="s">
        <v>29</v>
      </c>
      <c r="B11" s="24">
        <f t="shared" si="2"/>
        <v>4.1152263374485597E-2</v>
      </c>
      <c r="C11" s="26">
        <f t="shared" ref="C11:J11" si="9">$B$50*D50</f>
        <v>2.3868312757201649E-3</v>
      </c>
      <c r="D11" s="26">
        <f t="shared" si="9"/>
        <v>3.4485596707818929E-2</v>
      </c>
      <c r="E11" s="26">
        <f t="shared" si="9"/>
        <v>4.2798353909465018E-3</v>
      </c>
      <c r="F11" s="26">
        <f t="shared" si="9"/>
        <v>0</v>
      </c>
      <c r="G11" s="26">
        <f t="shared" si="9"/>
        <v>0</v>
      </c>
      <c r="H11" s="26">
        <f t="shared" si="9"/>
        <v>0</v>
      </c>
      <c r="I11" s="26">
        <f t="shared" si="9"/>
        <v>0</v>
      </c>
      <c r="J11" s="26">
        <f t="shared" si="9"/>
        <v>0</v>
      </c>
      <c r="L11" s="20" t="s">
        <v>70</v>
      </c>
      <c r="M11" s="20">
        <v>0.13348148148148148</v>
      </c>
      <c r="N11" s="20">
        <v>0.24551440329218105</v>
      </c>
      <c r="O11" s="1"/>
      <c r="P11" s="1"/>
      <c r="Q11" s="1"/>
      <c r="R11" s="1"/>
    </row>
    <row r="12" spans="1:18" ht="39" thickBot="1">
      <c r="A12" s="21" t="s">
        <v>80</v>
      </c>
      <c r="B12" s="24">
        <f t="shared" si="2"/>
        <v>2.8806584362139918E-2</v>
      </c>
      <c r="C12" s="26">
        <f t="shared" ref="C12:J12" si="10">$B$51*D51</f>
        <v>1.0082304526748973E-3</v>
      </c>
      <c r="D12" s="26">
        <f t="shared" si="10"/>
        <v>2.7798353909465022E-2</v>
      </c>
      <c r="E12" s="26">
        <f t="shared" si="10"/>
        <v>0</v>
      </c>
      <c r="F12" s="26">
        <f t="shared" si="10"/>
        <v>0</v>
      </c>
      <c r="G12" s="26">
        <f t="shared" si="10"/>
        <v>0</v>
      </c>
      <c r="H12" s="26">
        <f t="shared" si="10"/>
        <v>0</v>
      </c>
      <c r="I12" s="26">
        <f t="shared" si="10"/>
        <v>0</v>
      </c>
      <c r="J12" s="26">
        <f t="shared" si="10"/>
        <v>0</v>
      </c>
      <c r="L12" s="20" t="s">
        <v>75</v>
      </c>
      <c r="M12" s="20">
        <v>0.20008230452674897</v>
      </c>
      <c r="N12" s="20">
        <v>0.44559670781893002</v>
      </c>
      <c r="O12" s="1"/>
      <c r="P12" s="1"/>
      <c r="Q12" s="1"/>
      <c r="R12" s="1"/>
    </row>
    <row r="13" spans="1:18" ht="51.5" thickBot="1">
      <c r="A13" s="21" t="s">
        <v>27</v>
      </c>
      <c r="B13" s="24">
        <f t="shared" si="2"/>
        <v>2.8806584362139918E-2</v>
      </c>
      <c r="C13" s="26">
        <f t="shared" ref="C13:J13" si="11">$B$52*D52</f>
        <v>0</v>
      </c>
      <c r="D13" s="26">
        <f t="shared" si="11"/>
        <v>2.8000000000000001E-2</v>
      </c>
      <c r="E13" s="26">
        <f t="shared" si="11"/>
        <v>0</v>
      </c>
      <c r="F13" s="26">
        <f t="shared" si="11"/>
        <v>8.0658436213991772E-4</v>
      </c>
      <c r="G13" s="26">
        <f t="shared" si="11"/>
        <v>0</v>
      </c>
      <c r="H13" s="26">
        <f t="shared" si="11"/>
        <v>0</v>
      </c>
      <c r="I13" s="26">
        <f t="shared" si="11"/>
        <v>0</v>
      </c>
      <c r="J13" s="26">
        <f t="shared" si="11"/>
        <v>0</v>
      </c>
      <c r="L13" s="20" t="s">
        <v>76</v>
      </c>
      <c r="M13" s="20">
        <v>6.2296296296296294E-2</v>
      </c>
      <c r="N13" s="20">
        <v>0.50789300411522631</v>
      </c>
      <c r="O13" s="1"/>
      <c r="P13" s="1"/>
      <c r="Q13" s="1"/>
      <c r="R13" s="1"/>
    </row>
    <row r="14" spans="1:18" ht="51.5" thickBot="1">
      <c r="A14" s="1" t="s">
        <v>69</v>
      </c>
      <c r="B14" s="24">
        <f t="shared" si="2"/>
        <v>3.2954732510288069E-2</v>
      </c>
      <c r="C14" s="26">
        <f t="shared" ref="C14:J14" si="12">$B$53*D53</f>
        <v>2.3045267489711936E-4</v>
      </c>
      <c r="D14" s="26">
        <f t="shared" si="12"/>
        <v>2.7456790123456792E-2</v>
      </c>
      <c r="E14" s="26">
        <f t="shared" si="12"/>
        <v>5.2674897119341568E-3</v>
      </c>
      <c r="F14" s="26">
        <f t="shared" si="12"/>
        <v>0</v>
      </c>
      <c r="G14" s="26">
        <f t="shared" si="12"/>
        <v>0</v>
      </c>
      <c r="H14" s="26">
        <f t="shared" si="12"/>
        <v>0</v>
      </c>
      <c r="I14" s="26">
        <f t="shared" si="12"/>
        <v>0</v>
      </c>
      <c r="J14" s="26">
        <f t="shared" si="12"/>
        <v>0</v>
      </c>
      <c r="L14" s="20" t="s">
        <v>93</v>
      </c>
      <c r="M14" s="20">
        <v>1.7263374485596707E-2</v>
      </c>
      <c r="N14" s="20">
        <v>0.52515637860082298</v>
      </c>
      <c r="O14" s="1"/>
      <c r="P14" s="1"/>
      <c r="Q14" s="1"/>
      <c r="R14" s="1"/>
    </row>
    <row r="15" spans="1:18" ht="51.5" thickBot="1">
      <c r="A15" s="1"/>
      <c r="B15" s="22">
        <f>SUM(B3:B14)</f>
        <v>0.99988888888888894</v>
      </c>
      <c r="C15" s="1"/>
      <c r="D15" s="1"/>
      <c r="E15" s="1"/>
      <c r="F15" s="1"/>
      <c r="G15" s="1"/>
      <c r="H15" s="1"/>
      <c r="I15" s="39"/>
      <c r="J15" s="8"/>
      <c r="L15" s="20" t="s">
        <v>77</v>
      </c>
      <c r="M15" s="20">
        <v>3.4485596707818929E-2</v>
      </c>
      <c r="N15" s="20">
        <v>0.5596419753086419</v>
      </c>
      <c r="O15" s="1"/>
      <c r="P15" s="1"/>
      <c r="Q15" s="1"/>
      <c r="R15" s="1"/>
    </row>
    <row r="16" spans="1:18" ht="39" thickBot="1">
      <c r="A16" s="1"/>
      <c r="B16" s="1"/>
      <c r="C16" s="1"/>
      <c r="D16" s="1"/>
      <c r="E16" s="1"/>
      <c r="F16" s="1"/>
      <c r="G16" s="1"/>
      <c r="H16" s="1"/>
      <c r="I16" s="39"/>
      <c r="J16" s="8"/>
      <c r="L16" s="20" t="s">
        <v>81</v>
      </c>
      <c r="M16" s="20">
        <v>2.7798353909465022E-2</v>
      </c>
      <c r="N16" s="20">
        <v>0.58744032921810696</v>
      </c>
      <c r="O16" s="1"/>
      <c r="P16" s="1"/>
      <c r="Q16" s="1"/>
      <c r="R16" s="1"/>
    </row>
    <row r="17" spans="1:18" ht="51.5" thickBot="1">
      <c r="A17" s="1"/>
      <c r="B17" s="1"/>
      <c r="C17" s="1"/>
      <c r="D17" s="1"/>
      <c r="E17" s="1"/>
      <c r="F17" s="1"/>
      <c r="G17" s="1"/>
      <c r="H17" s="1"/>
      <c r="I17" s="39"/>
      <c r="J17" s="8"/>
      <c r="L17" s="20" t="s">
        <v>78</v>
      </c>
      <c r="M17" s="20">
        <v>2.8000000000000001E-2</v>
      </c>
      <c r="N17" s="20">
        <v>0.61544032921810699</v>
      </c>
      <c r="O17" s="1"/>
      <c r="P17" s="1"/>
      <c r="Q17" s="1"/>
      <c r="R17" s="1"/>
    </row>
    <row r="18" spans="1:18" ht="51.5" thickBot="1">
      <c r="A18" s="1"/>
      <c r="B18" s="1"/>
      <c r="C18" s="1"/>
      <c r="D18" s="1"/>
      <c r="E18" s="1"/>
      <c r="F18" s="1"/>
      <c r="G18" s="1"/>
      <c r="H18" s="1"/>
      <c r="I18" s="39"/>
      <c r="J18" s="8"/>
      <c r="L18" s="20" t="s">
        <v>71</v>
      </c>
      <c r="M18" s="20">
        <v>2.7456790123456792E-2</v>
      </c>
      <c r="N18" s="20">
        <v>0.64289711934156379</v>
      </c>
      <c r="O18" s="1"/>
      <c r="P18" s="1"/>
      <c r="Q18" s="1"/>
      <c r="R18" s="1"/>
    </row>
    <row r="19" spans="1:18" ht="39" thickBot="1">
      <c r="A19" s="1"/>
      <c r="B19" s="1"/>
      <c r="C19" s="1"/>
      <c r="D19" s="1"/>
      <c r="E19" s="1"/>
      <c r="F19" s="1"/>
      <c r="G19" s="1"/>
      <c r="H19" s="1"/>
      <c r="I19" s="39"/>
      <c r="J19" s="8"/>
      <c r="L19" s="20" t="s">
        <v>12</v>
      </c>
      <c r="M19" s="20">
        <v>8.7716049382716058E-2</v>
      </c>
      <c r="N19" s="20">
        <v>0.73061316872427984</v>
      </c>
      <c r="O19" s="1"/>
      <c r="P19" s="1"/>
      <c r="Q19" s="1"/>
      <c r="R19" s="1"/>
    </row>
    <row r="20" spans="1:18" ht="39" thickBot="1">
      <c r="A20" s="1"/>
      <c r="B20" s="1"/>
      <c r="C20" s="1"/>
      <c r="D20" s="1"/>
      <c r="E20" s="1"/>
      <c r="F20" s="1"/>
      <c r="G20" s="1"/>
      <c r="H20" s="1"/>
      <c r="I20" s="39"/>
      <c r="J20" s="8"/>
      <c r="L20" s="20" t="s">
        <v>24</v>
      </c>
      <c r="M20" s="20">
        <v>3.7448559670781897E-3</v>
      </c>
      <c r="N20" s="20">
        <v>0.73435802469135802</v>
      </c>
      <c r="O20" s="1"/>
      <c r="P20" s="1"/>
      <c r="Q20" s="1"/>
      <c r="R20" s="1"/>
    </row>
    <row r="21" spans="1:18" ht="39" thickBot="1">
      <c r="A21" s="1"/>
      <c r="B21" s="1"/>
      <c r="C21" s="1"/>
      <c r="D21" s="1"/>
      <c r="E21" s="1"/>
      <c r="F21" s="1"/>
      <c r="G21" s="1"/>
      <c r="H21" s="1"/>
      <c r="I21" s="39"/>
      <c r="J21" s="8"/>
      <c r="L21" s="20" t="s">
        <v>18</v>
      </c>
      <c r="M21" s="20">
        <v>5.5967078189300412E-3</v>
      </c>
      <c r="N21" s="20">
        <v>0.73995473251028809</v>
      </c>
      <c r="O21" s="1"/>
      <c r="P21" s="1"/>
      <c r="Q21" s="1"/>
      <c r="R21" s="1"/>
    </row>
    <row r="22" spans="1:18" ht="39" thickBot="1">
      <c r="A22" s="1"/>
      <c r="B22" s="1"/>
      <c r="C22" s="1"/>
      <c r="D22" s="1"/>
      <c r="E22" s="1"/>
      <c r="F22" s="1"/>
      <c r="G22" s="1"/>
      <c r="H22" s="1"/>
      <c r="I22" s="1"/>
      <c r="J22" s="1"/>
      <c r="L22" s="20" t="s">
        <v>14</v>
      </c>
      <c r="M22" s="20">
        <v>1.0271604938271605E-2</v>
      </c>
      <c r="N22" s="20">
        <v>0.75022633744855971</v>
      </c>
      <c r="O22" s="1"/>
      <c r="P22" s="1"/>
      <c r="Q22" s="1"/>
      <c r="R22" s="1"/>
    </row>
    <row r="23" spans="1:18" ht="39" thickBot="1">
      <c r="A23" s="1"/>
      <c r="B23" s="1"/>
      <c r="C23" s="1"/>
      <c r="D23" s="1"/>
      <c r="E23" s="1"/>
      <c r="F23" s="1"/>
      <c r="G23" s="1"/>
      <c r="H23" s="1"/>
      <c r="I23" s="1"/>
      <c r="J23" s="1"/>
      <c r="L23" s="20" t="s">
        <v>22</v>
      </c>
      <c r="M23" s="20">
        <v>1.4814814814814814E-3</v>
      </c>
      <c r="N23" s="20">
        <v>0.75170781893004124</v>
      </c>
      <c r="O23" s="1"/>
      <c r="P23" s="1"/>
      <c r="Q23" s="1"/>
      <c r="R23" s="1"/>
    </row>
    <row r="24" spans="1:18" ht="39" thickBot="1">
      <c r="A24" s="1"/>
      <c r="B24" s="1"/>
      <c r="C24" s="1"/>
      <c r="D24" s="1"/>
      <c r="E24" s="1"/>
      <c r="F24" s="1"/>
      <c r="G24" s="1"/>
      <c r="H24" s="1"/>
      <c r="I24" s="1"/>
      <c r="J24" s="1"/>
      <c r="L24" s="20" t="s">
        <v>16</v>
      </c>
      <c r="M24" s="20">
        <v>7.9588477366255142E-2</v>
      </c>
      <c r="N24" s="20">
        <v>0.83129629629629642</v>
      </c>
      <c r="O24" s="1"/>
      <c r="P24" s="1"/>
      <c r="Q24" s="1"/>
      <c r="R24" s="1"/>
    </row>
    <row r="25" spans="1:18" ht="39" thickBot="1">
      <c r="A25" s="1"/>
      <c r="B25" s="1"/>
      <c r="C25" s="1"/>
      <c r="D25" s="1"/>
      <c r="E25" s="1"/>
      <c r="F25" s="1"/>
      <c r="G25" s="1"/>
      <c r="H25" s="1"/>
      <c r="I25" s="1"/>
      <c r="J25" s="1"/>
      <c r="L25" s="20" t="s">
        <v>20</v>
      </c>
      <c r="M25" s="20">
        <v>7.1987654320987665E-2</v>
      </c>
      <c r="N25" s="20">
        <v>0.90328395061728406</v>
      </c>
      <c r="O25" s="1"/>
      <c r="P25" s="1"/>
      <c r="Q25" s="1"/>
      <c r="R25" s="1"/>
    </row>
    <row r="26" spans="1:18" ht="39" thickBot="1">
      <c r="L26" s="20" t="s">
        <v>35</v>
      </c>
      <c r="M26" s="20">
        <v>4.2798353909465018E-3</v>
      </c>
      <c r="N26" s="20">
        <v>0.90756378600823051</v>
      </c>
    </row>
    <row r="27" spans="1:18" ht="39" thickBot="1">
      <c r="L27" s="20" t="s">
        <v>72</v>
      </c>
      <c r="M27" s="20">
        <v>5.2674897119341568E-3</v>
      </c>
      <c r="N27" s="20">
        <v>0.91283127572016465</v>
      </c>
    </row>
    <row r="28" spans="1:18" ht="39" thickBot="1">
      <c r="L28" s="20" t="s">
        <v>26</v>
      </c>
      <c r="M28" s="20">
        <v>5.401234567901235E-2</v>
      </c>
      <c r="N28" s="20">
        <v>0.96684362139917701</v>
      </c>
    </row>
    <row r="29" spans="1:18" ht="39" thickBot="1">
      <c r="L29" s="20" t="s">
        <v>34</v>
      </c>
      <c r="M29" s="20">
        <v>4.1975308641975311E-4</v>
      </c>
      <c r="N29" s="20">
        <v>0.96726337448559674</v>
      </c>
    </row>
    <row r="30" spans="1:18" ht="39" thickBot="1">
      <c r="L30" s="20" t="s">
        <v>31</v>
      </c>
      <c r="M30" s="20">
        <v>1.4979423868312757E-3</v>
      </c>
      <c r="N30" s="20">
        <v>0.96876131687242806</v>
      </c>
    </row>
    <row r="31" spans="1:18" ht="39" thickBot="1">
      <c r="L31" s="20" t="s">
        <v>32</v>
      </c>
      <c r="M31" s="20">
        <v>1.0222222222222223E-2</v>
      </c>
      <c r="N31" s="20">
        <v>0.9789835390946503</v>
      </c>
    </row>
    <row r="32" spans="1:18" ht="39" thickBot="1">
      <c r="L32" s="20" t="s">
        <v>62</v>
      </c>
      <c r="M32" s="20">
        <v>9.8765432098765434E-4</v>
      </c>
      <c r="N32" s="20">
        <v>0.97997119341563799</v>
      </c>
    </row>
    <row r="33" spans="1:18" ht="39" thickBot="1">
      <c r="L33" s="20" t="s">
        <v>30</v>
      </c>
      <c r="M33" s="20">
        <v>2.0740740740740745E-3</v>
      </c>
      <c r="N33" s="20">
        <v>0.9820452674897121</v>
      </c>
    </row>
    <row r="34" spans="1:18" ht="39" thickBot="1">
      <c r="L34" s="20" t="s">
        <v>63</v>
      </c>
      <c r="M34" s="20">
        <v>8.0658436213991772E-4</v>
      </c>
      <c r="N34" s="20">
        <v>0.98285185185185198</v>
      </c>
    </row>
    <row r="35" spans="1:18" ht="39" thickBot="1">
      <c r="L35" s="20" t="s">
        <v>33</v>
      </c>
      <c r="M35" s="20">
        <v>8.6419753086419758E-4</v>
      </c>
      <c r="N35" s="20">
        <v>0.98371604938271617</v>
      </c>
    </row>
    <row r="36" spans="1:18" ht="39" thickBot="1">
      <c r="L36" s="20" t="s">
        <v>79</v>
      </c>
      <c r="M36" s="20">
        <v>6.4197530864197529E-4</v>
      </c>
      <c r="N36" s="20">
        <v>0.98435802469135814</v>
      </c>
    </row>
    <row r="37" spans="1:18" ht="39" thickBot="1">
      <c r="L37" s="20" t="s">
        <v>64</v>
      </c>
      <c r="M37" s="20">
        <v>1.4814814814814815E-4</v>
      </c>
      <c r="N37" s="20">
        <v>0.98450617283950626</v>
      </c>
    </row>
    <row r="38" spans="1:18" ht="39" thickBot="1">
      <c r="L38" s="20" t="s">
        <v>38</v>
      </c>
      <c r="M38" s="20">
        <v>1.7283950617283952E-3</v>
      </c>
      <c r="N38" s="20">
        <v>0.98623456790123465</v>
      </c>
    </row>
    <row r="39" spans="1:18" ht="39" thickBot="1">
      <c r="L39" s="20" t="s">
        <v>65</v>
      </c>
      <c r="M39" s="20">
        <v>1.0082304526748973E-3</v>
      </c>
      <c r="N39" s="4">
        <v>0.9872427983539096</v>
      </c>
    </row>
    <row r="40" spans="1:18" ht="51.5" thickBot="1">
      <c r="A40" s="1" t="s">
        <v>39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22" t="s">
        <v>82</v>
      </c>
      <c r="M40" s="22">
        <v>1.2358024691358025E-2</v>
      </c>
      <c r="N40" s="1">
        <v>0.99960082304526765</v>
      </c>
      <c r="O40" s="1"/>
      <c r="P40" s="1"/>
      <c r="Q40" s="1"/>
      <c r="R40" s="1"/>
    </row>
    <row r="41" spans="1:18" ht="39" thickBot="1">
      <c r="A41" s="9" t="s">
        <v>40</v>
      </c>
      <c r="B41" s="9" t="s">
        <v>2</v>
      </c>
      <c r="C41" s="9" t="s">
        <v>2</v>
      </c>
      <c r="D41" s="34" t="s">
        <v>84</v>
      </c>
      <c r="E41" s="34" t="s">
        <v>68</v>
      </c>
      <c r="F41" s="9" t="s">
        <v>3</v>
      </c>
      <c r="G41" s="9" t="s">
        <v>4</v>
      </c>
      <c r="H41" s="9" t="s">
        <v>5</v>
      </c>
      <c r="I41" s="9" t="s">
        <v>6</v>
      </c>
      <c r="J41" s="9" t="s">
        <v>7</v>
      </c>
      <c r="K41" s="1"/>
      <c r="L41" s="22" t="s">
        <v>83</v>
      </c>
      <c r="M41" s="22">
        <v>2.8806584362139919E-4</v>
      </c>
      <c r="N41">
        <v>0.99988888888888905</v>
      </c>
      <c r="O41" s="1"/>
      <c r="P41" s="1"/>
      <c r="Q41" s="1"/>
      <c r="R41" s="1"/>
    </row>
    <row r="42" spans="1:18" ht="15" thickBot="1">
      <c r="A42" s="21" t="s">
        <v>11</v>
      </c>
      <c r="B42" s="10">
        <f t="shared" ref="B42:B53" si="13">C42/$C$54</f>
        <v>0.1440329218106996</v>
      </c>
      <c r="C42" s="25">
        <v>3.5000000000000003E-2</v>
      </c>
      <c r="D42" s="25">
        <v>0</v>
      </c>
      <c r="E42" s="25">
        <v>0</v>
      </c>
      <c r="F42" s="25">
        <v>0.60899999999999999</v>
      </c>
      <c r="G42" s="25">
        <v>0.375</v>
      </c>
      <c r="H42" s="25">
        <v>6.0000000000000001E-3</v>
      </c>
      <c r="I42" s="25">
        <v>7.0000000000000001E-3</v>
      </c>
      <c r="J42" s="25">
        <v>2E-3</v>
      </c>
      <c r="K42" s="25"/>
      <c r="L42" s="22"/>
      <c r="M42" s="22"/>
      <c r="O42" s="1"/>
      <c r="P42" s="1"/>
      <c r="Q42" s="1"/>
      <c r="R42" s="1"/>
    </row>
    <row r="43" spans="1:18" ht="15" thickBot="1">
      <c r="A43" s="21" t="s">
        <v>21</v>
      </c>
      <c r="B43" s="10">
        <f t="shared" si="13"/>
        <v>0.10699588477366255</v>
      </c>
      <c r="C43" s="25">
        <v>2.5999999999999999E-2</v>
      </c>
      <c r="D43" s="25">
        <v>1.7000000000000001E-2</v>
      </c>
      <c r="E43" s="25">
        <v>0.94799999999999995</v>
      </c>
      <c r="F43" s="25">
        <v>3.5000000000000003E-2</v>
      </c>
      <c r="G43" s="25">
        <v>0</v>
      </c>
      <c r="H43" s="25">
        <v>0</v>
      </c>
      <c r="I43" s="25">
        <v>0</v>
      </c>
      <c r="J43" s="25">
        <v>0</v>
      </c>
      <c r="K43" s="25"/>
      <c r="L43" s="1"/>
      <c r="M43" s="1"/>
      <c r="O43" s="1"/>
      <c r="P43" s="1"/>
      <c r="Q43" s="1"/>
      <c r="R43" s="1"/>
    </row>
    <row r="44" spans="1:18" ht="15" thickBot="1">
      <c r="A44" s="21" t="s">
        <v>17</v>
      </c>
      <c r="B44" s="10">
        <f t="shared" si="13"/>
        <v>0.13991769547325103</v>
      </c>
      <c r="C44" s="25">
        <v>3.4000000000000002E-2</v>
      </c>
      <c r="D44" s="25">
        <v>4.0000000000000001E-3</v>
      </c>
      <c r="E44" s="25">
        <v>0.95399999999999996</v>
      </c>
      <c r="F44" s="25">
        <v>0.04</v>
      </c>
      <c r="G44" s="25">
        <v>3.0000000000000001E-3</v>
      </c>
      <c r="H44" s="25">
        <v>0</v>
      </c>
      <c r="I44" s="25">
        <v>0</v>
      </c>
      <c r="J44" s="25">
        <v>0</v>
      </c>
      <c r="K44" s="25"/>
      <c r="L44" s="1"/>
      <c r="M44" s="1"/>
      <c r="O44" s="1"/>
      <c r="P44" s="1"/>
      <c r="Q44" s="1"/>
      <c r="R44" s="1"/>
    </row>
    <row r="45" spans="1:18" ht="15" thickBot="1">
      <c r="A45" s="21" t="s">
        <v>15</v>
      </c>
      <c r="B45" s="10">
        <f t="shared" si="13"/>
        <v>0.2139917695473251</v>
      </c>
      <c r="C45" s="25">
        <v>5.1999999999999998E-2</v>
      </c>
      <c r="D45" s="25">
        <v>6.0000000000000001E-3</v>
      </c>
      <c r="E45" s="25">
        <v>0.93500000000000005</v>
      </c>
      <c r="F45" s="25">
        <v>4.8000000000000001E-2</v>
      </c>
      <c r="G45" s="25">
        <v>7.0000000000000001E-3</v>
      </c>
      <c r="H45" s="25">
        <v>3.0000000000000001E-3</v>
      </c>
      <c r="I45" s="25">
        <v>0</v>
      </c>
      <c r="J45" s="25">
        <v>0</v>
      </c>
      <c r="K45" s="25"/>
      <c r="L45" s="1"/>
      <c r="M45" s="1"/>
      <c r="O45" s="1"/>
      <c r="P45" s="1"/>
      <c r="Q45" s="1"/>
      <c r="R45" s="1"/>
    </row>
    <row r="46" spans="1:18" ht="15" thickBot="1">
      <c r="A46" s="21" t="s">
        <v>19</v>
      </c>
      <c r="B46" s="10">
        <f t="shared" si="13"/>
        <v>7.407407407407407E-2</v>
      </c>
      <c r="C46" s="25">
        <v>1.7999999999999999E-2</v>
      </c>
      <c r="D46" s="25">
        <v>0</v>
      </c>
      <c r="E46" s="25">
        <v>0.84099999999999997</v>
      </c>
      <c r="F46" s="25">
        <v>0.02</v>
      </c>
      <c r="G46" s="25">
        <v>0.13800000000000001</v>
      </c>
      <c r="H46" s="25">
        <v>2E-3</v>
      </c>
      <c r="I46" s="25">
        <v>0</v>
      </c>
      <c r="J46" s="25">
        <v>0</v>
      </c>
      <c r="K46" s="25"/>
      <c r="L46" s="1"/>
      <c r="M46" s="1"/>
      <c r="O46" s="1"/>
      <c r="P46" s="1"/>
      <c r="Q46" s="1"/>
      <c r="R46" s="1"/>
    </row>
    <row r="47" spans="1:18" ht="15" thickBot="1">
      <c r="A47" s="21" t="s">
        <v>13</v>
      </c>
      <c r="B47" s="10">
        <f t="shared" si="13"/>
        <v>8.2304526748971193E-2</v>
      </c>
      <c r="C47" s="25">
        <v>0.02</v>
      </c>
      <c r="D47" s="25">
        <v>0</v>
      </c>
      <c r="E47" s="25">
        <v>0</v>
      </c>
      <c r="F47" s="25">
        <v>0.96699999999999997</v>
      </c>
      <c r="G47" s="25">
        <v>1.2E-2</v>
      </c>
      <c r="H47" s="25">
        <v>2.1000000000000001E-2</v>
      </c>
      <c r="I47" s="25">
        <v>0</v>
      </c>
      <c r="J47" s="25">
        <v>0</v>
      </c>
      <c r="K47" s="25"/>
      <c r="L47" s="1"/>
      <c r="M47" s="1"/>
      <c r="O47" s="1"/>
      <c r="P47" s="1"/>
      <c r="Q47" s="1"/>
      <c r="R47" s="1"/>
    </row>
    <row r="48" spans="1:18" ht="15" thickBot="1">
      <c r="A48" s="21" t="s">
        <v>23</v>
      </c>
      <c r="B48" s="10">
        <f t="shared" si="13"/>
        <v>8.6419753086419762E-2</v>
      </c>
      <c r="C48" s="25">
        <v>2.1000000000000001E-2</v>
      </c>
      <c r="D48" s="25">
        <v>0</v>
      </c>
      <c r="E48" s="25">
        <v>0</v>
      </c>
      <c r="F48" s="25">
        <v>0.83299999999999996</v>
      </c>
      <c r="G48" s="25">
        <v>2.4E-2</v>
      </c>
      <c r="H48" s="25">
        <v>0</v>
      </c>
      <c r="I48" s="25">
        <v>0.14299999999999999</v>
      </c>
      <c r="J48" s="25">
        <v>0</v>
      </c>
      <c r="K48" s="25"/>
      <c r="L48" s="1"/>
      <c r="M48" s="1"/>
      <c r="O48" s="1"/>
      <c r="P48" s="1"/>
      <c r="Q48" s="1"/>
      <c r="R48" s="1"/>
    </row>
    <row r="49" spans="1:18" ht="15" thickBot="1">
      <c r="A49" s="36" t="s">
        <v>85</v>
      </c>
      <c r="B49" s="10">
        <f t="shared" si="13"/>
        <v>2.0576131687242798E-2</v>
      </c>
      <c r="C49" s="25">
        <v>5.0000000000000001E-3</v>
      </c>
      <c r="D49" s="25">
        <v>0.161</v>
      </c>
      <c r="E49" s="25">
        <v>0.83899999999999997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5"/>
      <c r="L49" s="1"/>
      <c r="M49" s="1"/>
      <c r="O49" s="1"/>
      <c r="P49" s="1"/>
      <c r="Q49" s="1"/>
      <c r="R49" s="1"/>
    </row>
    <row r="50" spans="1:18" ht="15" thickBot="1">
      <c r="A50" s="21" t="s">
        <v>29</v>
      </c>
      <c r="B50" s="10">
        <f t="shared" si="13"/>
        <v>4.1152263374485597E-2</v>
      </c>
      <c r="C50" s="25">
        <v>0.01</v>
      </c>
      <c r="D50" s="25">
        <v>5.8000000000000003E-2</v>
      </c>
      <c r="E50" s="25">
        <v>0.83799999999999997</v>
      </c>
      <c r="F50" s="25">
        <v>0.104</v>
      </c>
      <c r="G50" s="25">
        <v>0</v>
      </c>
      <c r="H50" s="25">
        <v>0</v>
      </c>
      <c r="I50" s="25">
        <v>0</v>
      </c>
      <c r="J50" s="25">
        <v>0</v>
      </c>
      <c r="K50" s="25"/>
      <c r="L50" s="1"/>
      <c r="M50" s="1"/>
      <c r="O50" s="1"/>
      <c r="P50" s="1"/>
      <c r="Q50" s="1"/>
      <c r="R50" s="1"/>
    </row>
    <row r="51" spans="1:18" ht="15" thickBot="1">
      <c r="A51" s="21" t="s">
        <v>80</v>
      </c>
      <c r="B51" s="10">
        <f t="shared" si="13"/>
        <v>2.8806584362139918E-2</v>
      </c>
      <c r="C51" s="25">
        <v>7.0000000000000001E-3</v>
      </c>
      <c r="D51" s="25">
        <v>3.5000000000000003E-2</v>
      </c>
      <c r="E51" s="25">
        <v>0.96499999999999997</v>
      </c>
      <c r="F51" s="25">
        <v>0</v>
      </c>
      <c r="G51" s="25">
        <v>0</v>
      </c>
      <c r="H51" s="25">
        <v>0</v>
      </c>
      <c r="I51" s="25">
        <v>0</v>
      </c>
      <c r="J51" s="25">
        <v>0</v>
      </c>
      <c r="K51" s="25"/>
      <c r="L51" s="1"/>
      <c r="M51" s="1"/>
      <c r="O51" s="1"/>
      <c r="P51" s="1"/>
      <c r="Q51" s="1"/>
      <c r="R51" s="1"/>
    </row>
    <row r="52" spans="1:18" ht="15" thickBot="1">
      <c r="A52" s="21" t="s">
        <v>27</v>
      </c>
      <c r="B52" s="10">
        <f t="shared" si="13"/>
        <v>2.8806584362139918E-2</v>
      </c>
      <c r="C52" s="25">
        <v>7.0000000000000001E-3</v>
      </c>
      <c r="D52" s="25">
        <v>0</v>
      </c>
      <c r="E52" s="25">
        <v>0.97199999999999998</v>
      </c>
      <c r="F52" s="25">
        <v>0</v>
      </c>
      <c r="G52" s="25">
        <v>2.8000000000000001E-2</v>
      </c>
      <c r="H52" s="25">
        <v>0</v>
      </c>
      <c r="I52" s="25">
        <v>0</v>
      </c>
      <c r="J52" s="25">
        <v>0</v>
      </c>
      <c r="K52" s="25"/>
      <c r="L52" s="1"/>
      <c r="M52" s="1"/>
      <c r="O52" s="1"/>
      <c r="P52" s="1"/>
      <c r="Q52" s="1"/>
      <c r="R52" s="1"/>
    </row>
    <row r="53" spans="1:18" ht="15" thickBot="1">
      <c r="A53" s="1" t="s">
        <v>69</v>
      </c>
      <c r="B53" s="10">
        <f t="shared" si="13"/>
        <v>3.292181069958848E-2</v>
      </c>
      <c r="C53" s="25">
        <v>8.0000000000000002E-3</v>
      </c>
      <c r="D53" s="25">
        <v>7.0000000000000001E-3</v>
      </c>
      <c r="E53" s="25">
        <v>0.83399999999999996</v>
      </c>
      <c r="F53" s="25">
        <v>0.16</v>
      </c>
      <c r="G53" s="25">
        <v>0</v>
      </c>
      <c r="H53" s="25">
        <v>0</v>
      </c>
      <c r="I53" s="25">
        <v>0</v>
      </c>
      <c r="J53" s="25">
        <v>0</v>
      </c>
      <c r="K53" s="25"/>
      <c r="L53" s="1"/>
      <c r="M53" s="1"/>
      <c r="O53" s="1"/>
      <c r="P53" s="1"/>
      <c r="Q53" s="1"/>
      <c r="R53" s="1"/>
    </row>
    <row r="54" spans="1:18" ht="15" thickBot="1">
      <c r="A54" s="1"/>
      <c r="B54" s="22">
        <f>SUM(B42:B53)</f>
        <v>1</v>
      </c>
      <c r="C54" s="22">
        <f>SUM(C42:C53)</f>
        <v>0.24299999999999999</v>
      </c>
      <c r="D54" s="1"/>
      <c r="E54" s="1"/>
      <c r="F54" s="1"/>
      <c r="G54" s="1"/>
      <c r="H54" s="1"/>
      <c r="I54" s="1"/>
      <c r="J54" s="1"/>
      <c r="K54" s="1"/>
      <c r="L54" s="1"/>
      <c r="M54" s="1"/>
      <c r="O54" s="1"/>
      <c r="P54" s="1"/>
      <c r="Q54" s="1"/>
      <c r="R54" s="1"/>
    </row>
    <row r="55" spans="1:18" ht="15" thickBo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5" thickBo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5" thickBot="1">
      <c r="A57" s="2"/>
      <c r="B57" s="2"/>
      <c r="C57" s="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26.5" thickBot="1">
      <c r="A58" s="3" t="s">
        <v>41</v>
      </c>
      <c r="B58" s="3" t="s">
        <v>0</v>
      </c>
      <c r="C58" s="3" t="s">
        <v>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39" thickBot="1">
      <c r="A59" s="11" t="s">
        <v>42</v>
      </c>
      <c r="B59" s="12">
        <v>0.22170000000000001</v>
      </c>
      <c r="C59" s="13">
        <v>0.22</v>
      </c>
      <c r="D59" s="14"/>
      <c r="E59" s="1"/>
      <c r="F59" s="1" t="s">
        <v>42</v>
      </c>
      <c r="G59" s="15">
        <v>9.4</v>
      </c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39" thickBot="1">
      <c r="A60" s="11" t="s">
        <v>43</v>
      </c>
      <c r="B60" s="12">
        <v>0.15090000000000001</v>
      </c>
      <c r="C60" s="5">
        <v>0.37259999999999999</v>
      </c>
      <c r="D60" s="14"/>
      <c r="E60" s="1"/>
      <c r="F60" s="1" t="s">
        <v>43</v>
      </c>
      <c r="G60" s="15">
        <v>6.4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39" thickBot="1">
      <c r="A61" s="11" t="s">
        <v>44</v>
      </c>
      <c r="B61" s="12">
        <v>0.1203</v>
      </c>
      <c r="C61" s="5">
        <v>0.4929</v>
      </c>
      <c r="D61" s="14"/>
      <c r="E61" s="1"/>
      <c r="F61" s="1" t="s">
        <v>44</v>
      </c>
      <c r="G61" s="15">
        <v>5.0999999999999996</v>
      </c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51.5" thickBot="1">
      <c r="A62" s="11" t="s">
        <v>45</v>
      </c>
      <c r="B62" s="12">
        <v>9.6699999999999994E-2</v>
      </c>
      <c r="C62" s="13">
        <v>0.59</v>
      </c>
      <c r="D62" s="14"/>
      <c r="E62" s="1"/>
      <c r="F62" s="1" t="s">
        <v>45</v>
      </c>
      <c r="G62" s="15">
        <v>4.0999999999999996</v>
      </c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39" thickBot="1">
      <c r="A63" s="11" t="s">
        <v>46</v>
      </c>
      <c r="B63" s="12">
        <v>7.5499999999999998E-2</v>
      </c>
      <c r="C63" s="5">
        <v>0.66510000000000002</v>
      </c>
      <c r="D63" s="14"/>
      <c r="E63" s="1"/>
      <c r="F63" s="1" t="s">
        <v>46</v>
      </c>
      <c r="G63" s="15">
        <v>3.2</v>
      </c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40.5" thickBot="1">
      <c r="A64" s="16" t="s">
        <v>47</v>
      </c>
      <c r="B64" s="17">
        <v>7.5499999999999998E-2</v>
      </c>
      <c r="C64" s="7">
        <v>0.74060000000000004</v>
      </c>
      <c r="D64" s="14"/>
      <c r="E64" s="1"/>
      <c r="F64" s="1" t="s">
        <v>47</v>
      </c>
      <c r="G64" s="15">
        <v>3.2</v>
      </c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40.5" thickBot="1">
      <c r="A65" s="16" t="s">
        <v>48</v>
      </c>
      <c r="B65" s="17">
        <v>7.0800000000000002E-2</v>
      </c>
      <c r="C65" s="7">
        <v>0.81130000000000002</v>
      </c>
      <c r="D65" s="14"/>
      <c r="E65" s="1"/>
      <c r="F65" s="1" t="s">
        <v>48</v>
      </c>
      <c r="G65" s="15">
        <v>3</v>
      </c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51.5" thickBot="1">
      <c r="A66" s="16" t="s">
        <v>49</v>
      </c>
      <c r="B66" s="17">
        <v>6.8400000000000002E-2</v>
      </c>
      <c r="C66" s="7">
        <v>0.87970000000000004</v>
      </c>
      <c r="D66" s="14"/>
      <c r="E66" s="1"/>
      <c r="F66" s="1" t="s">
        <v>49</v>
      </c>
      <c r="G66" s="15">
        <v>2.9</v>
      </c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40.5" thickBot="1">
      <c r="A67" s="16" t="s">
        <v>50</v>
      </c>
      <c r="B67" s="17">
        <v>6.13E-2</v>
      </c>
      <c r="C67" s="7">
        <v>0.94099999999999995</v>
      </c>
      <c r="D67" s="14"/>
      <c r="E67" s="1"/>
      <c r="F67" s="1" t="s">
        <v>50</v>
      </c>
      <c r="G67" s="15">
        <v>2.6</v>
      </c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26.5" thickBot="1">
      <c r="A68" s="16" t="s">
        <v>51</v>
      </c>
      <c r="B68" s="17">
        <v>5.8999999999999997E-2</v>
      </c>
      <c r="C68" s="7">
        <v>1</v>
      </c>
      <c r="D68" s="14"/>
      <c r="E68" s="1"/>
      <c r="F68" s="1" t="s">
        <v>51</v>
      </c>
      <c r="G68" s="15">
        <v>2.5</v>
      </c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5" thickBot="1">
      <c r="A69" s="2"/>
      <c r="B69" s="2"/>
      <c r="C69" s="2"/>
      <c r="D69" s="1"/>
      <c r="E69" s="1"/>
      <c r="F69" s="1"/>
      <c r="G69" s="15">
        <v>42.4</v>
      </c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26.5" thickBot="1">
      <c r="A70" s="3" t="s">
        <v>52</v>
      </c>
      <c r="B70" s="3" t="s">
        <v>0</v>
      </c>
      <c r="C70" s="3" t="s">
        <v>1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26.5" thickBot="1">
      <c r="A71" s="4" t="s">
        <v>53</v>
      </c>
      <c r="B71" s="18">
        <v>0.35099999999999998</v>
      </c>
      <c r="C71" s="5">
        <v>0.35099999999999998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5" thickBot="1">
      <c r="A72" s="4" t="s">
        <v>54</v>
      </c>
      <c r="B72" s="18">
        <v>0.34699999999999998</v>
      </c>
      <c r="C72" s="5">
        <v>0.69799999999999995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26.5" thickBot="1">
      <c r="A73" s="4" t="s">
        <v>55</v>
      </c>
      <c r="B73" s="18">
        <v>0.19800000000000001</v>
      </c>
      <c r="C73" s="5">
        <v>0.89600000000000002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39" thickBot="1">
      <c r="A74" s="6" t="s">
        <v>56</v>
      </c>
      <c r="B74" s="19">
        <v>7.0000000000000007E-2</v>
      </c>
      <c r="C74" s="7">
        <v>0.96599999999999997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39" thickBot="1">
      <c r="A75" s="6" t="s">
        <v>57</v>
      </c>
      <c r="B75" s="19">
        <v>1.6E-2</v>
      </c>
      <c r="C75" s="7">
        <v>0.98199999999999998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5" thickBot="1">
      <c r="A76" s="6" t="s">
        <v>58</v>
      </c>
      <c r="B76" s="19">
        <v>1.7000000000000001E-2</v>
      </c>
      <c r="C76" s="7">
        <v>0.999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5" thickBot="1">
      <c r="A77" s="6" t="s">
        <v>59</v>
      </c>
      <c r="B77" s="19">
        <v>1E-3</v>
      </c>
      <c r="C77" s="7">
        <v>1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39" thickBot="1">
      <c r="A78" s="6" t="s">
        <v>60</v>
      </c>
      <c r="B78" s="19">
        <v>0</v>
      </c>
      <c r="C78" s="7">
        <v>1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5" thickBo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5" thickBo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5" thickBo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5" thickBo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5" thickBo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5" thickBo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5" thickBo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5" thickBo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5" thickBo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5" thickBo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5" thickBo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5" thickBo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5" thickBo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5" thickBo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5" thickBo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5" thickBo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5" thickBo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5" thickBo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5" thickBo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5" thickBo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5" thickBo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5" thickBo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1:18" ht="15" thickBo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1:18" ht="15" thickBo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1:18" ht="15" thickBo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1:18" ht="15" thickBo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</row>
    <row r="105" spans="1:18" ht="15" thickBo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</row>
    <row r="106" spans="1:18" ht="15" thickBo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</row>
    <row r="107" spans="1:18" ht="15" thickBo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</row>
    <row r="108" spans="1:18" ht="15" thickBo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</row>
    <row r="109" spans="1:18" ht="15" thickBo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</row>
    <row r="110" spans="1:18" ht="15" thickBo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</row>
    <row r="111" spans="1:18" ht="15" thickBo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</row>
    <row r="112" spans="1:18" ht="15" thickBo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</row>
    <row r="113" spans="1:18" ht="15" thickBo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</row>
    <row r="114" spans="1:18" ht="15" thickBo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</row>
    <row r="115" spans="1:18" ht="15" thickBo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</row>
    <row r="116" spans="1:18" ht="15" thickBo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</row>
    <row r="117" spans="1:18" ht="15" thickBo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ht="15" thickBo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ht="15" thickBo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ht="15" thickBo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ht="15" thickBo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ht="15" thickBo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ht="15" thickBo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ht="15" thickBo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ht="15" thickBo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ht="15" thickBo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ht="15" thickBo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ht="15" thickBo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ht="15" thickBo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ht="15" thickBo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ht="15" thickBo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ht="15" thickBo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ht="15" thickBo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ht="15" thickBo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ht="15" thickBo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ht="15" thickBo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ht="15" thickBo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ht="15" thickBo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ht="15" thickBo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ht="15" thickBo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ht="15" thickBo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ht="15" thickBo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ht="15" thickBo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1:18" ht="15" thickBo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1:18" ht="15" thickBo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1:18" ht="15" thickBo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1:18" ht="15" thickBo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</row>
    <row r="148" spans="1:18" ht="15" thickBo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</row>
    <row r="149" spans="1:18" ht="15" thickBo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</row>
    <row r="150" spans="1:18" ht="15" thickBo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</row>
    <row r="151" spans="1:18" ht="15" thickBo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</row>
    <row r="152" spans="1:18" ht="15" thickBo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ht="15" thickBo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ht="15" thickBo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ht="15" thickBo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ht="15" thickBo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ht="15" thickBo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ht="15" thickBo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ht="15" thickBo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ht="15" thickBo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ht="15" thickBo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ht="15" thickBo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ht="15" thickBo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ht="15" thickBo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ht="15" thickBo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ht="15" thickBo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ht="15" thickBo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ht="15" thickBo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1:18" ht="15" thickBo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1:18" ht="15" thickBo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1:18" ht="15" thickBo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ht="15" thickBo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ht="15" thickBo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ht="15" thickBo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ht="15" thickBo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ht="15" thickBo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ht="15" thickBo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</row>
    <row r="178" spans="1:18" ht="15" thickBo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</row>
    <row r="179" spans="1:18" ht="15" thickBo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</row>
    <row r="180" spans="1:18" ht="15" thickBo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</row>
    <row r="181" spans="1:18" ht="15" thickBo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ht="15" thickBo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ht="15" thickBo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ht="15" thickBo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ht="15" thickBo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ht="15" thickBo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ht="15" thickBo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ht="15" thickBo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1:18" ht="15" thickBo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ht="15" thickBo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ht="15" thickBo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ht="15" thickBo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ht="15" thickBo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ht="15" thickBo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ht="15" thickBo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ht="15" thickBo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ht="15" thickBo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ht="15" thickBo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ht="15" thickBo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</row>
    <row r="200" spans="1:18" ht="15" thickBo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</row>
    <row r="201" spans="1:18" ht="15" thickBo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</row>
    <row r="202" spans="1:18" ht="15" thickBo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</row>
    <row r="203" spans="1:18" ht="15" thickBo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</row>
    <row r="204" spans="1:18" ht="15" thickBo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</row>
    <row r="205" spans="1:18" ht="15" thickBo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</row>
    <row r="206" spans="1:18" ht="15" thickBo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</row>
    <row r="207" spans="1:18" ht="15" thickBo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</row>
    <row r="208" spans="1:18" ht="15" thickBo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</row>
    <row r="209" spans="1:18" ht="15" thickBo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</row>
    <row r="210" spans="1:18" ht="15" thickBo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</row>
    <row r="211" spans="1:18" ht="15" thickBo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</row>
    <row r="212" spans="1:18" ht="15" thickBo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</row>
    <row r="213" spans="1:18" ht="15" thickBo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</row>
    <row r="214" spans="1:18" ht="15" thickBo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</row>
    <row r="215" spans="1:18" ht="15" thickBo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</row>
    <row r="216" spans="1:18" ht="15" thickBo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</row>
    <row r="217" spans="1:18" ht="15" thickBo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</row>
    <row r="218" spans="1:18" ht="15" thickBo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</row>
    <row r="219" spans="1:18" ht="15" thickBo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</row>
    <row r="220" spans="1:18" ht="15" thickBo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</row>
    <row r="221" spans="1:18" ht="15" thickBo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</row>
    <row r="222" spans="1:18" ht="15" thickBo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</row>
    <row r="223" spans="1:18" ht="15" thickBo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</row>
    <row r="224" spans="1:18" ht="15" thickBo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</row>
    <row r="225" spans="1:18" ht="15" thickBo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</row>
    <row r="226" spans="1:18" ht="15" thickBo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</row>
    <row r="227" spans="1:18" ht="15" thickBo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</row>
    <row r="228" spans="1:18" ht="15" thickBo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</row>
    <row r="229" spans="1:18" ht="15" thickBo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</row>
    <row r="230" spans="1:18" ht="15" thickBo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</row>
    <row r="231" spans="1:18" ht="15" thickBo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</row>
    <row r="232" spans="1:18" ht="15" thickBo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</row>
    <row r="233" spans="1:18" ht="15" thickBo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</row>
    <row r="234" spans="1:18" ht="15" thickBo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</row>
    <row r="235" spans="1:18" ht="15" thickBo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</row>
    <row r="236" spans="1:18" ht="15" thickBo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</row>
    <row r="237" spans="1:18" ht="15" thickBo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</row>
    <row r="238" spans="1:18" ht="15" thickBo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</row>
    <row r="239" spans="1:18" ht="15" thickBo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</row>
    <row r="240" spans="1:18" ht="15" thickBo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</row>
    <row r="241" spans="1:18" ht="15" thickBo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</row>
    <row r="242" spans="1:18" ht="15" thickBo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</row>
    <row r="243" spans="1:18" ht="15" thickBo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</row>
    <row r="244" spans="1:18" ht="15" thickBo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</row>
    <row r="245" spans="1:18" ht="15" thickBo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</row>
    <row r="246" spans="1:18" ht="15" thickBo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</row>
    <row r="247" spans="1:18" ht="15" thickBo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</row>
    <row r="248" spans="1:18" ht="15" thickBo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</row>
    <row r="249" spans="1:18" ht="15" thickBo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</row>
    <row r="250" spans="1:18" ht="15" thickBo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</row>
    <row r="251" spans="1:18" ht="15" thickBo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</row>
    <row r="252" spans="1:18" ht="15" thickBo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</row>
    <row r="253" spans="1:18" ht="15" thickBo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</row>
    <row r="254" spans="1:18" ht="15" thickBo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</row>
    <row r="255" spans="1:18" ht="15" thickBo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</row>
    <row r="256" spans="1:18" ht="15" thickBo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</row>
    <row r="257" spans="1:18" ht="15" thickBo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</row>
    <row r="258" spans="1:18" ht="15" thickBo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</row>
    <row r="259" spans="1:18" ht="15" thickBo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</row>
    <row r="260" spans="1:18" ht="15" thickBo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</row>
    <row r="261" spans="1:18" ht="15" thickBo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</row>
    <row r="262" spans="1:18" ht="15" thickBo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</row>
    <row r="263" spans="1:18" ht="15" thickBo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</row>
    <row r="264" spans="1:18" ht="15" thickBo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</row>
    <row r="265" spans="1:18" ht="15" thickBo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</row>
    <row r="266" spans="1:18" ht="15" thickBo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</row>
    <row r="267" spans="1:18" ht="15" thickBo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</row>
    <row r="268" spans="1:18" ht="15" thickBo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</row>
    <row r="269" spans="1:18" ht="15" thickBo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</row>
    <row r="270" spans="1:18" ht="15" thickBo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</row>
    <row r="271" spans="1:18" ht="15" thickBo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</row>
    <row r="272" spans="1:18" ht="15" thickBo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</row>
    <row r="273" spans="1:18" ht="15" thickBo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</row>
    <row r="274" spans="1:18" ht="15" thickBo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</row>
    <row r="275" spans="1:18" ht="15" thickBo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</row>
    <row r="276" spans="1:18" ht="15" thickBo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</row>
    <row r="277" spans="1:18" ht="15" thickBo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</row>
    <row r="278" spans="1:18" ht="15" thickBo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</row>
    <row r="279" spans="1:18" ht="15" thickBo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</row>
    <row r="280" spans="1:18" ht="15" thickBo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</row>
    <row r="281" spans="1:18" ht="15" thickBo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</row>
    <row r="282" spans="1:18" ht="15" thickBo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</row>
    <row r="283" spans="1:18" ht="15" thickBo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</row>
    <row r="284" spans="1:18" ht="15" thickBo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</row>
    <row r="285" spans="1:18" ht="15" thickBo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</row>
    <row r="286" spans="1:18" ht="15" thickBo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</row>
    <row r="287" spans="1:18" ht="15" thickBo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</row>
    <row r="288" spans="1:18" ht="15" thickBo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</row>
    <row r="289" spans="1:18" ht="15" thickBo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</row>
    <row r="290" spans="1:18" ht="15" thickBo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</row>
    <row r="291" spans="1:18" ht="15" thickBo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</row>
    <row r="292" spans="1:18" ht="15" thickBo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</row>
    <row r="293" spans="1:18" ht="15" thickBo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</row>
    <row r="294" spans="1:18" ht="15" thickBo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</row>
    <row r="295" spans="1:18" ht="15" thickBo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</row>
    <row r="296" spans="1:18" ht="15" thickBo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</row>
    <row r="297" spans="1:18" ht="15" thickBo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</row>
    <row r="298" spans="1:18" ht="15" thickBo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</row>
    <row r="299" spans="1:18" ht="15" thickBo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</row>
    <row r="300" spans="1:18" ht="15" thickBo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</row>
    <row r="301" spans="1:18" ht="15" thickBo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</row>
    <row r="302" spans="1:18" ht="15" thickBo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</row>
    <row r="303" spans="1:18" ht="15" thickBo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</row>
    <row r="304" spans="1:18" ht="15" thickBo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</row>
    <row r="305" spans="1:18" ht="15" thickBo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</row>
    <row r="306" spans="1:18" ht="15" thickBo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</row>
    <row r="307" spans="1:18" ht="15" thickBo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</row>
    <row r="308" spans="1:18" ht="15" thickBo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</row>
    <row r="309" spans="1:18" ht="15" thickBo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</row>
    <row r="310" spans="1:18" ht="15" thickBo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</row>
    <row r="311" spans="1:18" ht="15" thickBo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</row>
    <row r="312" spans="1:18" ht="15" thickBo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</row>
    <row r="313" spans="1:18" ht="15" thickBo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</row>
    <row r="314" spans="1:18" ht="15" thickBo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</row>
    <row r="315" spans="1:18" ht="15" thickBo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</row>
    <row r="316" spans="1:18" ht="15" thickBo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</row>
    <row r="317" spans="1:18" ht="15" thickBo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</row>
    <row r="318" spans="1:18" ht="15" thickBo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</row>
    <row r="319" spans="1:18" ht="15" thickBo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</row>
    <row r="320" spans="1:18" ht="15" thickBo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</row>
    <row r="321" spans="1:18" ht="15" thickBo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</row>
    <row r="322" spans="1:18" ht="15" thickBo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</row>
    <row r="323" spans="1:18" ht="15" thickBo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</row>
    <row r="324" spans="1:18" ht="15" thickBo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</row>
    <row r="325" spans="1:18" ht="15" thickBo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</row>
    <row r="326" spans="1:18" ht="15" thickBo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</row>
    <row r="327" spans="1:18" ht="15" thickBo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</row>
    <row r="328" spans="1:18" ht="15" thickBo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</row>
    <row r="329" spans="1:18" ht="15" thickBo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</row>
    <row r="330" spans="1:18" ht="15" thickBo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</row>
    <row r="331" spans="1:18" ht="15" thickBo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</row>
    <row r="332" spans="1:18" ht="15" thickBo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</row>
    <row r="333" spans="1:18" ht="15" thickBo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</row>
    <row r="334" spans="1:18" ht="15" thickBo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</row>
    <row r="335" spans="1:18" ht="15" thickBo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</row>
    <row r="336" spans="1:18" ht="15" thickBo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</row>
    <row r="337" spans="1:18" ht="15" thickBo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</row>
    <row r="338" spans="1:18" ht="15" thickBo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</row>
    <row r="339" spans="1:18" ht="15" thickBo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</row>
    <row r="340" spans="1:18" ht="15" thickBo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</row>
    <row r="341" spans="1:18" ht="15" thickBo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</row>
    <row r="342" spans="1:18" ht="15" thickBo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</row>
    <row r="343" spans="1:18" ht="15" thickBo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</row>
    <row r="344" spans="1:18" ht="15" thickBo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</row>
    <row r="345" spans="1:18" ht="15" thickBo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</row>
    <row r="346" spans="1:18" ht="15" thickBo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</row>
    <row r="347" spans="1:18" ht="15" thickBo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</row>
    <row r="348" spans="1:18" ht="15" thickBo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</row>
    <row r="349" spans="1:18" ht="15" thickBo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</row>
    <row r="350" spans="1:18" ht="15" thickBo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</row>
    <row r="351" spans="1:18" ht="15" thickBo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</row>
    <row r="352" spans="1:18" ht="15" thickBo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</row>
    <row r="353" spans="1:18" ht="15" thickBo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</row>
    <row r="354" spans="1:18" ht="15" thickBo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</row>
    <row r="355" spans="1:18" ht="15" thickBo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</row>
    <row r="356" spans="1:18" ht="15" thickBo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</row>
    <row r="357" spans="1:18" ht="15" thickBo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</row>
    <row r="358" spans="1:18" ht="15" thickBo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</row>
    <row r="359" spans="1:18" ht="15" thickBo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</row>
    <row r="360" spans="1:18" ht="15" thickBo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</row>
    <row r="361" spans="1:18" ht="15" thickBo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</row>
    <row r="362" spans="1:18" ht="15" thickBo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</row>
    <row r="363" spans="1:18" ht="15" thickBo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</row>
    <row r="364" spans="1:18" ht="15" thickBo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</row>
    <row r="365" spans="1:18" ht="15" thickBo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</row>
    <row r="366" spans="1:18" ht="15" thickBo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</row>
    <row r="367" spans="1:18" ht="15" thickBo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</row>
    <row r="368" spans="1:18" ht="15" thickBo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</row>
    <row r="369" spans="1:18" ht="15" thickBo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</row>
    <row r="370" spans="1:18" ht="15" thickBo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</row>
    <row r="371" spans="1:18" ht="15" thickBo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</row>
    <row r="372" spans="1:18" ht="15" thickBo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</row>
    <row r="373" spans="1:18" ht="15" thickBo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</row>
    <row r="374" spans="1:18" ht="15" thickBo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</row>
    <row r="375" spans="1:18" ht="15" thickBo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</row>
    <row r="376" spans="1:18" ht="15" thickBo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</row>
    <row r="377" spans="1:18" ht="15" thickBo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</row>
    <row r="378" spans="1:18" ht="15" thickBo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</row>
    <row r="379" spans="1:18" ht="15" thickBo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</row>
    <row r="380" spans="1:18" ht="15" thickBo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</row>
    <row r="381" spans="1:18" ht="15" thickBo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</row>
    <row r="382" spans="1:18" ht="15" thickBo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</row>
    <row r="383" spans="1:18" ht="15" thickBo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</row>
    <row r="384" spans="1:18" ht="15" thickBo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</row>
    <row r="385" spans="1:18" ht="15" thickBo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</row>
    <row r="386" spans="1:18" ht="15" thickBo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</row>
    <row r="387" spans="1:18" ht="15" thickBo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</row>
    <row r="388" spans="1:18" ht="15" thickBo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</row>
    <row r="389" spans="1:18" ht="15" thickBo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</row>
    <row r="390" spans="1:18" ht="15" thickBo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</row>
    <row r="391" spans="1:18" ht="15" thickBo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</row>
    <row r="392" spans="1:18" ht="15" thickBo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</row>
    <row r="393" spans="1:18" ht="15" thickBo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</row>
    <row r="394" spans="1:18" ht="15" thickBo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</row>
    <row r="395" spans="1:18" ht="15" thickBo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</row>
    <row r="396" spans="1:18" ht="15" thickBo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</row>
    <row r="397" spans="1:18" ht="15" thickBo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</row>
    <row r="398" spans="1:18" ht="15" thickBo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</row>
    <row r="399" spans="1:18" ht="15" thickBo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</row>
    <row r="400" spans="1:18" ht="15" thickBo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</row>
    <row r="401" spans="1:18" ht="15" thickBo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</row>
    <row r="402" spans="1:18" ht="15" thickBo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</row>
    <row r="403" spans="1:18" ht="15" thickBo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</row>
    <row r="404" spans="1:18" ht="15" thickBo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</row>
    <row r="405" spans="1:18" ht="15" thickBo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</row>
    <row r="406" spans="1:18" ht="15" thickBo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</row>
    <row r="407" spans="1:18" ht="15" thickBo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</row>
    <row r="408" spans="1:18" ht="15" thickBo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</row>
    <row r="409" spans="1:18" ht="15" thickBo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</row>
    <row r="410" spans="1:18" ht="15" thickBo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</row>
    <row r="411" spans="1:18" ht="15" thickBo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</row>
    <row r="412" spans="1:18" ht="15" thickBo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</row>
    <row r="413" spans="1:18" ht="15" thickBo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</row>
    <row r="414" spans="1:18" ht="15" thickBo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</row>
    <row r="415" spans="1:18" ht="15" thickBo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</row>
    <row r="416" spans="1:18" ht="15" thickBo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</row>
    <row r="417" spans="1:18" ht="15" thickBo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</row>
    <row r="418" spans="1:18" ht="15" thickBo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</row>
    <row r="419" spans="1:18" ht="15" thickBo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</row>
    <row r="420" spans="1:18" ht="15" thickBo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</row>
    <row r="421" spans="1:18" ht="15" thickBo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</row>
    <row r="422" spans="1:18" ht="15" thickBo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</row>
    <row r="423" spans="1:18" ht="15" thickBo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</row>
    <row r="424" spans="1:18" ht="15" thickBo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</row>
    <row r="425" spans="1:18" ht="15" thickBo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</row>
    <row r="426" spans="1:18" ht="15" thickBo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</row>
    <row r="427" spans="1:18" ht="15" thickBo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</row>
    <row r="428" spans="1:18" ht="15" thickBo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</row>
    <row r="429" spans="1:18" ht="15" thickBo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</row>
    <row r="430" spans="1:18" ht="15" thickBo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</row>
    <row r="431" spans="1:18" ht="15" thickBo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</row>
    <row r="432" spans="1:18" ht="15" thickBo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</row>
    <row r="433" spans="1:18" ht="15" thickBo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</row>
    <row r="434" spans="1:18" ht="15" thickBo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</row>
    <row r="435" spans="1:18" ht="15" thickBo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</row>
    <row r="436" spans="1:18" ht="15" thickBo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</row>
    <row r="437" spans="1:18" ht="15" thickBo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</row>
    <row r="438" spans="1:18" ht="15" thickBo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</row>
    <row r="439" spans="1:18" ht="15" thickBo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</row>
    <row r="440" spans="1:18" ht="15" thickBo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</row>
    <row r="441" spans="1:18" ht="15" thickBo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</row>
    <row r="442" spans="1:18" ht="15" thickBo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</row>
    <row r="443" spans="1:18" ht="15" thickBo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</row>
    <row r="444" spans="1:18" ht="15" thickBo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</row>
    <row r="445" spans="1:18" ht="15" thickBo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</row>
    <row r="446" spans="1:18" ht="15" thickBo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</row>
    <row r="447" spans="1:18" ht="15" thickBo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</row>
    <row r="448" spans="1:18" ht="15" thickBo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</row>
    <row r="449" spans="1:18" ht="15" thickBo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</row>
    <row r="450" spans="1:18" ht="15" thickBo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</row>
    <row r="451" spans="1:18" ht="15" thickBo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</row>
    <row r="452" spans="1:18" ht="15" thickBo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</row>
    <row r="453" spans="1:18" ht="15" thickBo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</row>
    <row r="454" spans="1:18" ht="15" thickBo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</row>
    <row r="455" spans="1:18" ht="15" thickBo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</row>
    <row r="456" spans="1:18" ht="15" thickBo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</row>
    <row r="457" spans="1:18" ht="15" thickBo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</row>
    <row r="458" spans="1:18" ht="15" thickBo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</row>
    <row r="459" spans="1:18" ht="15" thickBo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</row>
    <row r="460" spans="1:18" ht="15" thickBo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</row>
    <row r="461" spans="1:18" ht="15" thickBo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</row>
    <row r="462" spans="1:18" ht="15" thickBo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</row>
    <row r="463" spans="1:18" ht="15" thickBo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</row>
    <row r="464" spans="1:18" ht="15" thickBo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</row>
    <row r="465" spans="1:18" ht="15" thickBo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</row>
    <row r="466" spans="1:18" ht="15" thickBo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</row>
    <row r="467" spans="1:18" ht="15" thickBo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</row>
    <row r="468" spans="1:18" ht="15" thickBo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</row>
    <row r="469" spans="1:18" ht="15" thickBo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</row>
    <row r="470" spans="1:18" ht="15" thickBo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</row>
    <row r="471" spans="1:18" ht="15" thickBo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</row>
    <row r="472" spans="1:18" ht="15" thickBo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</row>
    <row r="473" spans="1:18" ht="15" thickBo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</row>
    <row r="474" spans="1:18" ht="15" thickBo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</row>
    <row r="475" spans="1:18" ht="15" thickBo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</row>
    <row r="476" spans="1:18" ht="15" thickBo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</row>
    <row r="477" spans="1:18" ht="15" thickBo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</row>
    <row r="478" spans="1:18" ht="15" thickBo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</row>
    <row r="479" spans="1:18" ht="15" thickBo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</row>
    <row r="480" spans="1:18" ht="15" thickBo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</row>
    <row r="481" spans="1:18" ht="15" thickBo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</row>
    <row r="482" spans="1:18" ht="15" thickBo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</row>
    <row r="483" spans="1:18" ht="15" thickBo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</row>
    <row r="484" spans="1:18" ht="15" thickBo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</row>
    <row r="485" spans="1:18" ht="15" thickBo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</row>
    <row r="486" spans="1:18" ht="15" thickBo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</row>
    <row r="487" spans="1:18" ht="15" thickBo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</row>
    <row r="488" spans="1:18" ht="15" thickBo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</row>
    <row r="489" spans="1:18" ht="15" thickBo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</row>
    <row r="490" spans="1:18" ht="15" thickBo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</row>
    <row r="491" spans="1:18" ht="15" thickBo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</row>
    <row r="492" spans="1:18" ht="15" thickBo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</row>
    <row r="493" spans="1:18" ht="15" thickBo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</row>
    <row r="494" spans="1:18" ht="15" thickBo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</row>
    <row r="495" spans="1:18" ht="15" thickBo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</row>
    <row r="496" spans="1:18" ht="15" thickBo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</row>
    <row r="497" spans="1:18" ht="15" thickBo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</row>
    <row r="498" spans="1:18" ht="15" thickBo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</row>
    <row r="499" spans="1:18" ht="15" thickBo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</row>
    <row r="500" spans="1:18" ht="15" thickBo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</row>
    <row r="501" spans="1:18" ht="15" thickBo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</row>
    <row r="502" spans="1:18" ht="15" thickBo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</row>
    <row r="503" spans="1:18" ht="15" thickBo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</row>
    <row r="504" spans="1:18" ht="15" thickBo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</row>
    <row r="505" spans="1:18" ht="15" thickBo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</row>
    <row r="506" spans="1:18" ht="15" thickBo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</row>
    <row r="507" spans="1:18" ht="15" thickBo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</row>
    <row r="508" spans="1:18" ht="15" thickBo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</row>
    <row r="509" spans="1:18" ht="15" thickBo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</row>
    <row r="510" spans="1:18" ht="15" thickBo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</row>
    <row r="511" spans="1:18" ht="15" thickBo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</row>
    <row r="512" spans="1:18" ht="15" thickBo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</row>
    <row r="513" spans="1:18" ht="15" thickBo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</row>
    <row r="514" spans="1:18" ht="15" thickBo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</row>
    <row r="515" spans="1:18" ht="15" thickBo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</row>
    <row r="516" spans="1:18" ht="15" thickBo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</row>
    <row r="517" spans="1:18" ht="15" thickBo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</row>
    <row r="518" spans="1:18" ht="15" thickBo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</row>
    <row r="519" spans="1:18" ht="15" thickBo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</row>
    <row r="520" spans="1:18" ht="15" thickBo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</row>
    <row r="521" spans="1:18" ht="15" thickBo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</row>
    <row r="522" spans="1:18" ht="15" thickBo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</row>
    <row r="523" spans="1:18" ht="15" thickBo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</row>
    <row r="524" spans="1:18" ht="15" thickBo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</row>
    <row r="525" spans="1:18" ht="15" thickBo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</row>
    <row r="526" spans="1:18" ht="15" thickBo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</row>
    <row r="527" spans="1:18" ht="15" thickBo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</row>
    <row r="528" spans="1:18" ht="15" thickBo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</row>
    <row r="529" spans="1:18" ht="15" thickBo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</row>
    <row r="530" spans="1:18" ht="15" thickBo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</row>
    <row r="531" spans="1:18" ht="15" thickBo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</row>
    <row r="532" spans="1:18" ht="15" thickBo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</row>
    <row r="533" spans="1:18" ht="15" thickBo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</row>
    <row r="534" spans="1:18" ht="15" thickBo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</row>
    <row r="535" spans="1:18" ht="15" thickBo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</row>
    <row r="536" spans="1:18" ht="15" thickBo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</row>
    <row r="537" spans="1:18" ht="15" thickBo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</row>
    <row r="538" spans="1:18" ht="15" thickBo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</row>
    <row r="539" spans="1:18" ht="15" thickBo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</row>
    <row r="540" spans="1:18" ht="15" thickBo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</row>
    <row r="541" spans="1:18" ht="15" thickBo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</row>
    <row r="542" spans="1:18" ht="15" thickBo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</row>
    <row r="543" spans="1:18" ht="15" thickBo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</row>
    <row r="544" spans="1:18" ht="15" thickBo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</row>
    <row r="545" spans="1:18" ht="15" thickBo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</row>
    <row r="546" spans="1:18" ht="15" thickBo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</row>
    <row r="547" spans="1:18" ht="15" thickBo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</row>
    <row r="548" spans="1:18" ht="15" thickBo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</row>
    <row r="549" spans="1:18" ht="15" thickBo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</row>
    <row r="550" spans="1:18" ht="15" thickBo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</row>
    <row r="551" spans="1:18" ht="15" thickBo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</row>
    <row r="552" spans="1:18" ht="15" thickBo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</row>
    <row r="553" spans="1:18" ht="15" thickBo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</row>
    <row r="554" spans="1:18" ht="15" thickBo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</row>
    <row r="555" spans="1:18" ht="15" thickBo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</row>
    <row r="556" spans="1:18" ht="15" thickBo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</row>
    <row r="557" spans="1:18" ht="15" thickBo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</row>
    <row r="558" spans="1:18" ht="15" thickBo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</row>
    <row r="559" spans="1:18" ht="15" thickBo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</row>
    <row r="560" spans="1:18" ht="15" thickBo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</row>
    <row r="561" spans="1:18" ht="15" thickBo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</row>
    <row r="562" spans="1:18" ht="15" thickBo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</row>
    <row r="563" spans="1:18" ht="15" thickBo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</row>
    <row r="564" spans="1:18" ht="15" thickBo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</row>
    <row r="565" spans="1:18" ht="15" thickBo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</row>
    <row r="566" spans="1:18" ht="15" thickBo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</row>
    <row r="567" spans="1:18" ht="15" thickBo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</row>
    <row r="568" spans="1:18" ht="15" thickBo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</row>
    <row r="569" spans="1:18" ht="15" thickBo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</row>
    <row r="570" spans="1:18" ht="15" thickBo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</row>
    <row r="571" spans="1:18" ht="15" thickBo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</row>
    <row r="572" spans="1:18" ht="15" thickBo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</row>
    <row r="573" spans="1:18" ht="15" thickBo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</row>
    <row r="574" spans="1:18" ht="15" thickBo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</row>
    <row r="575" spans="1:18" ht="15" thickBo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</row>
    <row r="576" spans="1:18" ht="15" thickBo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</row>
    <row r="577" spans="1:18" ht="15" thickBo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</row>
    <row r="578" spans="1:18" ht="15" thickBo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</row>
    <row r="579" spans="1:18" ht="15" thickBo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</row>
    <row r="580" spans="1:18" ht="15" thickBo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</row>
    <row r="581" spans="1:18" ht="15" thickBo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</row>
    <row r="582" spans="1:18" ht="15" thickBo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</row>
    <row r="583" spans="1:18" ht="15" thickBo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</row>
    <row r="584" spans="1:18" ht="15" thickBo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</row>
    <row r="585" spans="1:18" ht="15" thickBo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</row>
    <row r="586" spans="1:18" ht="15" thickBo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</row>
    <row r="587" spans="1:18" ht="15" thickBo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</row>
    <row r="588" spans="1:18" ht="15" thickBo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</row>
    <row r="589" spans="1:18" ht="15" thickBo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</row>
    <row r="590" spans="1:18" ht="15" thickBo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</row>
    <row r="591" spans="1:18" ht="15" thickBo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</row>
    <row r="592" spans="1:18" ht="15" thickBo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</row>
    <row r="593" spans="1:18" ht="15" thickBo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</row>
    <row r="594" spans="1:18" ht="15" thickBo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</row>
    <row r="595" spans="1:18" ht="15" thickBo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</row>
    <row r="596" spans="1:18" ht="15" thickBo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</row>
    <row r="597" spans="1:18" ht="15" thickBo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</row>
    <row r="598" spans="1:18" ht="15" thickBo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</row>
    <row r="599" spans="1:18" ht="15" thickBo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</row>
    <row r="600" spans="1:18" ht="15" thickBo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</row>
    <row r="601" spans="1:18" ht="15" thickBo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</row>
    <row r="602" spans="1:18" ht="15" thickBo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</row>
    <row r="603" spans="1:18" ht="15" thickBo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</row>
    <row r="604" spans="1:18" ht="15" thickBo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</row>
    <row r="605" spans="1:18" ht="15" thickBo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</row>
    <row r="606" spans="1:18" ht="15" thickBo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</row>
    <row r="607" spans="1:18" ht="15" thickBo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</row>
    <row r="608" spans="1:18" ht="15" thickBo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</row>
    <row r="609" spans="1:18" ht="15" thickBo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</row>
    <row r="610" spans="1:18" ht="15" thickBo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</row>
    <row r="611" spans="1:18" ht="15" thickBo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</row>
    <row r="612" spans="1:18" ht="15" thickBo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</row>
    <row r="613" spans="1:18" ht="15" thickBo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</row>
    <row r="614" spans="1:18" ht="15" thickBo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</row>
    <row r="615" spans="1:18" ht="15" thickBo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</row>
    <row r="616" spans="1:18" ht="15" thickBo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</row>
    <row r="617" spans="1:18" ht="15" thickBo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</row>
    <row r="618" spans="1:18" ht="15" thickBo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</row>
    <row r="619" spans="1:18" ht="15" thickBo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</row>
    <row r="620" spans="1:18" ht="15" thickBo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</row>
    <row r="621" spans="1:18" ht="15" thickBo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</row>
    <row r="622" spans="1:18" ht="15" thickBo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</row>
    <row r="623" spans="1:18" ht="15" thickBo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</row>
    <row r="624" spans="1:18" ht="15" thickBo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</row>
    <row r="625" spans="1:18" ht="15" thickBo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</row>
    <row r="626" spans="1:18" ht="15" thickBo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</row>
    <row r="627" spans="1:18" ht="15" thickBo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</row>
    <row r="628" spans="1:18" ht="15" thickBo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</row>
    <row r="629" spans="1:18" ht="15" thickBo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</row>
    <row r="630" spans="1:18" ht="15" thickBo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</row>
    <row r="631" spans="1:18" ht="15" thickBo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</row>
    <row r="632" spans="1:18" ht="15" thickBo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</row>
    <row r="633" spans="1:18" ht="15" thickBo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</row>
    <row r="634" spans="1:18" ht="15" thickBo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</row>
    <row r="635" spans="1:18" ht="15" thickBo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</row>
    <row r="636" spans="1:18" ht="15" thickBo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</row>
    <row r="637" spans="1:18" ht="15" thickBo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</row>
    <row r="638" spans="1:18" ht="15" thickBo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</row>
    <row r="639" spans="1:18" ht="15" thickBo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</row>
    <row r="640" spans="1:18" ht="15" thickBo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</row>
    <row r="641" spans="1:18" ht="15" thickBo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</row>
    <row r="642" spans="1:18" ht="15" thickBo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</row>
    <row r="643" spans="1:18" ht="15" thickBo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</row>
    <row r="644" spans="1:18" ht="15" thickBo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</row>
    <row r="645" spans="1:18" ht="15" thickBo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</row>
    <row r="646" spans="1:18" ht="15" thickBo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</row>
    <row r="647" spans="1:18" ht="15" thickBo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</row>
    <row r="648" spans="1:18" ht="15" thickBo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</row>
    <row r="649" spans="1:18" ht="15" thickBo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</row>
    <row r="650" spans="1:18" ht="15" thickBo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</row>
    <row r="651" spans="1:18" ht="15" thickBo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</row>
    <row r="652" spans="1:18" ht="15" thickBo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</row>
    <row r="653" spans="1:18" ht="15" thickBo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</row>
    <row r="654" spans="1:18" ht="15" thickBo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</row>
    <row r="655" spans="1:18" ht="15" thickBo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</row>
    <row r="656" spans="1:18" ht="15" thickBo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</row>
    <row r="657" spans="1:18" ht="15" thickBo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</row>
    <row r="658" spans="1:18" ht="15" thickBo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</row>
    <row r="659" spans="1:18" ht="15" thickBo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</row>
    <row r="660" spans="1:18" ht="15" thickBo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</row>
    <row r="661" spans="1:18" ht="15" thickBo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</row>
    <row r="662" spans="1:18" ht="15" thickBo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</row>
    <row r="663" spans="1:18" ht="15" thickBo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</row>
    <row r="664" spans="1:18" ht="15" thickBo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</row>
    <row r="665" spans="1:18" ht="15" thickBo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</row>
    <row r="666" spans="1:18" ht="15" thickBo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</row>
    <row r="667" spans="1:18" ht="15" thickBo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</row>
    <row r="668" spans="1:18" ht="15" thickBo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</row>
    <row r="669" spans="1:18" ht="15" thickBo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</row>
    <row r="670" spans="1:18" ht="15" thickBo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</row>
    <row r="671" spans="1:18" ht="15" thickBo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</row>
    <row r="672" spans="1:18" ht="15" thickBo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</row>
    <row r="673" spans="1:18" ht="15" thickBo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</row>
    <row r="674" spans="1:18" ht="15" thickBo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</row>
    <row r="675" spans="1:18" ht="15" thickBo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</row>
    <row r="676" spans="1:18" ht="15" thickBo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</row>
    <row r="677" spans="1:18" ht="15" thickBo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</row>
    <row r="678" spans="1:18" ht="15" thickBo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</row>
    <row r="679" spans="1:18" ht="15" thickBo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</row>
    <row r="680" spans="1:18" ht="15" thickBo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</row>
    <row r="681" spans="1:18" ht="15" thickBo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</row>
    <row r="682" spans="1:18" ht="15" thickBo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</row>
    <row r="683" spans="1:18" ht="15" thickBo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</row>
    <row r="684" spans="1:18" ht="15" thickBo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</row>
    <row r="685" spans="1:18" ht="15" thickBo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</row>
    <row r="686" spans="1:18" ht="15" thickBo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</row>
    <row r="687" spans="1:18" ht="15" thickBo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</row>
    <row r="688" spans="1:18" ht="15" thickBo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</row>
    <row r="689" spans="1:18" ht="15" thickBo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</row>
    <row r="690" spans="1:18" ht="15" thickBo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</row>
    <row r="691" spans="1:18" ht="15" thickBo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</row>
    <row r="692" spans="1:18" ht="15" thickBo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</row>
    <row r="693" spans="1:18" ht="15" thickBo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</row>
    <row r="694" spans="1:18" ht="15" thickBo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</row>
    <row r="695" spans="1:18" ht="15" thickBo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</row>
    <row r="696" spans="1:18" ht="15" thickBo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</row>
    <row r="697" spans="1:18" ht="15" thickBo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</row>
    <row r="698" spans="1:18" ht="15" thickBo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</row>
    <row r="699" spans="1:18" ht="15" thickBo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</row>
    <row r="700" spans="1:18" ht="15" thickBo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</row>
    <row r="701" spans="1:18" ht="15" thickBo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</row>
    <row r="702" spans="1:18" ht="15" thickBo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</row>
    <row r="703" spans="1:18" ht="15" thickBo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</row>
    <row r="704" spans="1:18" ht="15" thickBo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</row>
    <row r="705" spans="1:18" ht="15" thickBo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</row>
    <row r="706" spans="1:18" ht="15" thickBo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</row>
    <row r="707" spans="1:18" ht="15" thickBo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</row>
    <row r="708" spans="1:18" ht="15" thickBo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</row>
    <row r="709" spans="1:18" ht="15" thickBo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</row>
    <row r="710" spans="1:18" ht="15" thickBo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</row>
    <row r="711" spans="1:18" ht="15" thickBo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</row>
    <row r="712" spans="1:18" ht="15" thickBo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</row>
    <row r="713" spans="1:18" ht="15" thickBo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</row>
    <row r="714" spans="1:18" ht="15" thickBo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</row>
    <row r="715" spans="1:18" ht="15" thickBo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</row>
    <row r="716" spans="1:18" ht="15" thickBo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</row>
    <row r="717" spans="1:18" ht="15" thickBo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</row>
    <row r="718" spans="1:18" ht="15" thickBo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</row>
    <row r="719" spans="1:18" ht="15" thickBo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</row>
    <row r="720" spans="1:18" ht="15" thickBo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</row>
    <row r="721" spans="1:18" ht="15" thickBo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</row>
    <row r="722" spans="1:18" ht="15" thickBo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</row>
    <row r="723" spans="1:18" ht="15" thickBo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</row>
    <row r="724" spans="1:18" ht="15" thickBo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</row>
    <row r="725" spans="1:18" ht="15" thickBo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</row>
    <row r="726" spans="1:18" ht="15" thickBo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</row>
    <row r="727" spans="1:18" ht="15" thickBo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</row>
    <row r="728" spans="1:18" ht="15" thickBo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</row>
    <row r="729" spans="1:18" ht="15" thickBo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</row>
    <row r="730" spans="1:18" ht="15" thickBo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</row>
    <row r="731" spans="1:18" ht="15" thickBo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</row>
    <row r="732" spans="1:18" ht="15" thickBo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</row>
    <row r="733" spans="1:18" ht="15" thickBo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</row>
    <row r="734" spans="1:18" ht="15" thickBo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</row>
    <row r="735" spans="1:18" ht="15" thickBo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</row>
    <row r="736" spans="1:18" ht="15" thickBo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</row>
    <row r="737" spans="1:18" ht="15" thickBo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</row>
    <row r="738" spans="1:18" ht="15" thickBo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</row>
    <row r="739" spans="1:18" ht="15" thickBo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</row>
    <row r="740" spans="1:18" ht="15" thickBo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</row>
    <row r="741" spans="1:18" ht="15" thickBo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</row>
    <row r="742" spans="1:18" ht="15" thickBo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</row>
    <row r="743" spans="1:18" ht="15" thickBo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</row>
    <row r="744" spans="1:18" ht="15" thickBo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</row>
    <row r="745" spans="1:18" ht="15" thickBo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</row>
    <row r="746" spans="1:18" ht="15" thickBo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</row>
    <row r="747" spans="1:18" ht="15" thickBo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</row>
    <row r="748" spans="1:18" ht="15" thickBo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</row>
    <row r="749" spans="1:18" ht="15" thickBo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</row>
    <row r="750" spans="1:18" ht="15" thickBo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</row>
    <row r="751" spans="1:18" ht="15" thickBo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</row>
    <row r="752" spans="1:18" ht="15" thickBo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</row>
    <row r="753" spans="1:18" ht="15" thickBo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</row>
    <row r="754" spans="1:18" ht="15" thickBo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</row>
    <row r="755" spans="1:18" ht="15" thickBo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</row>
    <row r="756" spans="1:18" ht="15" thickBo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</row>
    <row r="757" spans="1:18" ht="15" thickBo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</row>
    <row r="758" spans="1:18" ht="15" thickBo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</row>
    <row r="759" spans="1:18" ht="15" thickBo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</row>
    <row r="760" spans="1:18" ht="15" thickBo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</row>
    <row r="761" spans="1:18" ht="15" thickBo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</row>
    <row r="762" spans="1:18" ht="15" thickBo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</row>
    <row r="763" spans="1:18" ht="15" thickBo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</row>
    <row r="764" spans="1:18" ht="15" thickBo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</row>
    <row r="765" spans="1:18" ht="15" thickBo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</row>
    <row r="766" spans="1:18" ht="15" thickBo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</row>
    <row r="767" spans="1:18" ht="15" thickBo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</row>
    <row r="768" spans="1:18" ht="15" thickBo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</row>
    <row r="769" spans="1:18" ht="15" thickBo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</row>
    <row r="770" spans="1:18" ht="15" thickBo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</row>
    <row r="771" spans="1:18" ht="15" thickBo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</row>
    <row r="772" spans="1:18" ht="15" thickBo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</row>
    <row r="773" spans="1:18" ht="15" thickBo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</row>
    <row r="774" spans="1:18" ht="15" thickBo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</row>
    <row r="775" spans="1:18" ht="15" thickBo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</row>
    <row r="776" spans="1:18" ht="15" thickBo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</row>
    <row r="777" spans="1:18" ht="15" thickBo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</row>
    <row r="778" spans="1:18" ht="15" thickBo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</row>
    <row r="779" spans="1:18" ht="15" thickBo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</row>
    <row r="780" spans="1:18" ht="15" thickBo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</row>
    <row r="781" spans="1:18" ht="15" thickBo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</row>
    <row r="782" spans="1:18" ht="15" thickBo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</row>
    <row r="783" spans="1:18" ht="15" thickBo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</row>
    <row r="784" spans="1:18" ht="15" thickBo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</row>
    <row r="785" spans="1:18" ht="15" thickBo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</row>
    <row r="786" spans="1:18" ht="15" thickBo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</row>
    <row r="787" spans="1:18" ht="15" thickBo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</row>
    <row r="788" spans="1:18" ht="15" thickBo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</row>
    <row r="789" spans="1:18" ht="15" thickBo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</row>
    <row r="790" spans="1:18" ht="15" thickBo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</row>
    <row r="791" spans="1:18" ht="15" thickBo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</row>
    <row r="792" spans="1:18" ht="15" thickBo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</row>
    <row r="793" spans="1:18" ht="15" thickBo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</row>
    <row r="794" spans="1:18" ht="15" thickBo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</row>
    <row r="795" spans="1:18" ht="15" thickBo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</row>
    <row r="796" spans="1:18" ht="15" thickBo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</row>
    <row r="797" spans="1:18" ht="15" thickBo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</row>
    <row r="798" spans="1:18" ht="15" thickBo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</row>
    <row r="799" spans="1:18" ht="15" thickBo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</row>
    <row r="800" spans="1:18" ht="15" thickBo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</row>
    <row r="801" spans="1:18" ht="15" thickBo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</row>
    <row r="802" spans="1:18" ht="15" thickBo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</row>
    <row r="803" spans="1:18" ht="15" thickBo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</row>
    <row r="804" spans="1:18" ht="15" thickBo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</row>
    <row r="805" spans="1:18" ht="15" thickBo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</row>
    <row r="806" spans="1:18" ht="15" thickBo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</row>
    <row r="807" spans="1:18" ht="15" thickBo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</row>
    <row r="808" spans="1:18" ht="15" thickBo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</row>
    <row r="809" spans="1:18" ht="15" thickBo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</row>
    <row r="810" spans="1:18" ht="15" thickBo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</row>
    <row r="811" spans="1:18" ht="15" thickBo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</row>
    <row r="812" spans="1:18" ht="15" thickBo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</row>
    <row r="813" spans="1:18" ht="15" thickBo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</row>
    <row r="814" spans="1:18" ht="15" thickBo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</row>
    <row r="815" spans="1:18" ht="15" thickBo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</row>
    <row r="816" spans="1:18" ht="15" thickBo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</row>
    <row r="817" spans="1:18" ht="15" thickBo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</row>
    <row r="818" spans="1:18" ht="15" thickBo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</row>
    <row r="819" spans="1:18" ht="15" thickBo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</row>
    <row r="820" spans="1:18" ht="15" thickBo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</row>
    <row r="821" spans="1:18" ht="15" thickBo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</row>
    <row r="822" spans="1:18" ht="15" thickBo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</row>
    <row r="823" spans="1:18" ht="15" thickBo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</row>
    <row r="824" spans="1:18" ht="15" thickBo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</row>
    <row r="825" spans="1:18" ht="15" thickBo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</row>
    <row r="826" spans="1:18" ht="15" thickBo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</row>
    <row r="827" spans="1:18" ht="15" thickBo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</row>
    <row r="828" spans="1:18" ht="15" thickBo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</row>
    <row r="829" spans="1:18" ht="15" thickBo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</row>
    <row r="830" spans="1:18" ht="15" thickBo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</row>
    <row r="831" spans="1:18" ht="15" thickBo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</row>
    <row r="832" spans="1:18" ht="15" thickBo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</row>
    <row r="833" spans="1:18" ht="15" thickBo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</row>
    <row r="834" spans="1:18" ht="15" thickBo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</row>
    <row r="835" spans="1:18" ht="15" thickBo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</row>
    <row r="836" spans="1:18" ht="15" thickBo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</row>
    <row r="837" spans="1:18" ht="15" thickBo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</row>
    <row r="838" spans="1:18" ht="15" thickBo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</row>
    <row r="839" spans="1:18" ht="15" thickBo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</row>
    <row r="840" spans="1:18" ht="15" thickBo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</row>
    <row r="841" spans="1:18" ht="15" thickBo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</row>
    <row r="842" spans="1:18" ht="15" thickBo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</row>
    <row r="843" spans="1:18" ht="15" thickBo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</row>
    <row r="844" spans="1:18" ht="15" thickBo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</row>
    <row r="845" spans="1:18" ht="15" thickBo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</row>
    <row r="846" spans="1:18" ht="15" thickBo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</row>
    <row r="847" spans="1:18" ht="15" thickBo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</row>
    <row r="848" spans="1:18" ht="15" thickBo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</row>
    <row r="849" spans="1:18" ht="15" thickBo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</row>
    <row r="850" spans="1:18" ht="15" thickBo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</row>
    <row r="851" spans="1:18" ht="15" thickBo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</row>
    <row r="852" spans="1:18" ht="15" thickBo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</row>
    <row r="853" spans="1:18" ht="15" thickBo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</row>
    <row r="854" spans="1:18" ht="15" thickBo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</row>
    <row r="855" spans="1:18" ht="15" thickBo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</row>
    <row r="856" spans="1:18" ht="15" thickBo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</row>
    <row r="857" spans="1:18" ht="15" thickBo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</row>
    <row r="858" spans="1:18" ht="15" thickBo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</row>
    <row r="859" spans="1:18" ht="15" thickBo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</row>
    <row r="860" spans="1:18" ht="15" thickBo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</row>
    <row r="861" spans="1:18" ht="15" thickBo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</row>
    <row r="862" spans="1:18" ht="15" thickBo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</row>
    <row r="863" spans="1:18" ht="15" thickBo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</row>
    <row r="864" spans="1:18" ht="15" thickBo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</row>
    <row r="865" spans="1:18" ht="15" thickBo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</row>
    <row r="866" spans="1:18" ht="15" thickBo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</row>
    <row r="867" spans="1:18" ht="15" thickBo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</row>
    <row r="868" spans="1:18" ht="15" thickBo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</row>
    <row r="869" spans="1:18" ht="15" thickBo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</row>
    <row r="870" spans="1:18" ht="15" thickBo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</row>
    <row r="871" spans="1:18" ht="15" thickBo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</row>
    <row r="872" spans="1:18" ht="15" thickBo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</row>
    <row r="873" spans="1:18" ht="15" thickBo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</row>
    <row r="874" spans="1:18" ht="15" thickBo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</row>
    <row r="875" spans="1:18" ht="15" thickBo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</row>
    <row r="876" spans="1:18" ht="15" thickBo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</row>
    <row r="877" spans="1:18" ht="15" thickBo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</row>
    <row r="878" spans="1:18" ht="15" thickBo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</row>
    <row r="879" spans="1:18" ht="15" thickBo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</row>
    <row r="880" spans="1:18" ht="15" thickBo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</row>
    <row r="881" spans="1:18" ht="15" thickBo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</row>
    <row r="882" spans="1:18" ht="15" thickBo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</row>
    <row r="883" spans="1:18" ht="15" thickBo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</row>
    <row r="884" spans="1:18" ht="15" thickBo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</row>
    <row r="885" spans="1:18" ht="15" thickBo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</row>
    <row r="886" spans="1:18" ht="15" thickBo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</row>
    <row r="887" spans="1:18" ht="15" thickBo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</row>
    <row r="888" spans="1:18" ht="15" thickBo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</row>
    <row r="889" spans="1:18" ht="15" thickBo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</row>
    <row r="890" spans="1:18" ht="15" thickBo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</row>
    <row r="891" spans="1:18" ht="15" thickBo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</row>
    <row r="892" spans="1:18" ht="15" thickBo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</row>
    <row r="893" spans="1:18" ht="15" thickBo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</row>
    <row r="894" spans="1:18" ht="15" thickBo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</row>
    <row r="895" spans="1:18" ht="15" thickBo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</row>
    <row r="896" spans="1:18" ht="15" thickBo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</row>
    <row r="897" spans="1:18" ht="15" thickBo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</row>
    <row r="898" spans="1:18" ht="15" thickBo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</row>
    <row r="899" spans="1:18" ht="15" thickBo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</row>
    <row r="900" spans="1:18" ht="15" thickBo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</row>
    <row r="901" spans="1:18" ht="15" thickBo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</row>
    <row r="902" spans="1:18" ht="15" thickBo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</row>
    <row r="903" spans="1:18" ht="15" thickBo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</row>
    <row r="904" spans="1:18" ht="15" thickBo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</row>
    <row r="905" spans="1:18" ht="15" thickBo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</row>
    <row r="906" spans="1:18" ht="15" thickBo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</row>
    <row r="907" spans="1:18" ht="15" thickBo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</row>
    <row r="908" spans="1:18" ht="15" thickBo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</row>
    <row r="909" spans="1:18" ht="15" thickBo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</row>
    <row r="910" spans="1:18" ht="15" thickBo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</row>
    <row r="911" spans="1:18" ht="15" thickBo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</row>
    <row r="912" spans="1:18" ht="15" thickBo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</row>
    <row r="913" spans="1:18" ht="15" thickBo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</row>
    <row r="914" spans="1:18" ht="15" thickBo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</row>
    <row r="915" spans="1:18" ht="15" thickBo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</row>
    <row r="916" spans="1:18" ht="15" thickBo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</row>
    <row r="917" spans="1:18" ht="15" thickBo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</row>
    <row r="918" spans="1:18" ht="15" thickBo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</row>
    <row r="919" spans="1:18" ht="15" thickBo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</row>
    <row r="920" spans="1:18" ht="15" thickBo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</row>
    <row r="921" spans="1:18" ht="15" thickBo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</row>
    <row r="922" spans="1:18" ht="15" thickBo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</row>
    <row r="923" spans="1:18" ht="15" thickBo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</row>
    <row r="924" spans="1:18" ht="15" thickBo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</row>
    <row r="925" spans="1:18" ht="15" thickBo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</row>
    <row r="926" spans="1:18" ht="15" thickBo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</row>
    <row r="927" spans="1:18" ht="15" thickBo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</row>
    <row r="928" spans="1:18" ht="15" thickBo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</row>
    <row r="929" spans="1:18" ht="15" thickBo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</row>
    <row r="930" spans="1:18" ht="15" thickBo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</row>
    <row r="931" spans="1:18" ht="15" thickBo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</row>
    <row r="932" spans="1:18" ht="15" thickBo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</row>
    <row r="933" spans="1:18" ht="15" thickBo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</row>
    <row r="934" spans="1:18" ht="15" thickBo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</row>
    <row r="935" spans="1:18" ht="15" thickBo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</row>
    <row r="936" spans="1:18" ht="15" thickBo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</row>
    <row r="937" spans="1:18" ht="15" thickBo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</row>
    <row r="938" spans="1:18" ht="15" thickBo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</row>
    <row r="939" spans="1:18" ht="15" thickBo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</row>
    <row r="940" spans="1:18" ht="15" thickBo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</row>
    <row r="941" spans="1:18" ht="15" thickBo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</row>
    <row r="942" spans="1:18" ht="15" thickBo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</row>
    <row r="943" spans="1:18" ht="15" thickBo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</row>
    <row r="944" spans="1:18" ht="15" thickBo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</row>
    <row r="945" spans="1:18" ht="15" thickBo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</row>
    <row r="946" spans="1:18" ht="15" thickBo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</row>
    <row r="947" spans="1:18" ht="15" thickBo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</row>
    <row r="948" spans="1:18" ht="15" thickBo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</row>
    <row r="949" spans="1:18" ht="15" thickBo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</row>
    <row r="950" spans="1:18" ht="15" thickBo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</row>
    <row r="951" spans="1:18" ht="15" thickBo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</row>
    <row r="952" spans="1:18" ht="15" thickBo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</row>
    <row r="953" spans="1:18" ht="15" thickBo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</row>
    <row r="954" spans="1:18" ht="15" thickBo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</row>
    <row r="955" spans="1:18" ht="15" thickBo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</row>
    <row r="956" spans="1:18" ht="15" thickBo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</row>
    <row r="957" spans="1:18" ht="15" thickBo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</row>
    <row r="958" spans="1:18" ht="15" thickBo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</row>
    <row r="959" spans="1:18" ht="15" thickBo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</row>
    <row r="960" spans="1:18" ht="15" thickBo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</row>
    <row r="961" spans="1:18" ht="15" thickBo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</row>
    <row r="962" spans="1:18" ht="15" thickBo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</row>
    <row r="963" spans="1:18" ht="15" thickBo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</row>
    <row r="964" spans="1:18" ht="15" thickBo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</row>
    <row r="965" spans="1:18" ht="15" thickBo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</row>
    <row r="966" spans="1:18" ht="15" thickBo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</row>
    <row r="967" spans="1:18" ht="15" thickBo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</row>
    <row r="968" spans="1:18" ht="15" thickBo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</row>
    <row r="969" spans="1:18" ht="15" thickBo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</row>
    <row r="970" spans="1:18" ht="15" thickBo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</row>
    <row r="971" spans="1:18" ht="15" thickBo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</row>
    <row r="972" spans="1:18" ht="15" thickBo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</row>
    <row r="973" spans="1:18" ht="15" thickBo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</row>
    <row r="974" spans="1:18" ht="15" thickBo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</row>
    <row r="975" spans="1:18" ht="15" thickBo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</row>
    <row r="976" spans="1:18" ht="15" thickBo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</row>
    <row r="977" spans="1:18" ht="15" thickBo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</row>
    <row r="978" spans="1:18" ht="15" thickBo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</row>
    <row r="979" spans="1:18" ht="15" thickBo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</row>
    <row r="980" spans="1:18" ht="15" thickBo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</row>
    <row r="981" spans="1:18" ht="15" thickBo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</row>
    <row r="982" spans="1:18" ht="15" thickBo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</row>
    <row r="983" spans="1:18" ht="15" thickBo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</row>
  </sheetData>
  <dataConsolidate/>
  <conditionalFormatting sqref="C3:I1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3:J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69930555555555596" right="0.69930555555555596" top="0.75" bottom="0.75" header="0.3" footer="0.3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66"/>
  <sheetViews>
    <sheetView workbookViewId="0"/>
  </sheetViews>
  <sheetFormatPr defaultColWidth="15.453125" defaultRowHeight="14.5"/>
  <cols>
    <col min="1" max="1" width="15" bestFit="1" customWidth="1"/>
    <col min="2" max="2" width="11.7265625" bestFit="1" customWidth="1"/>
    <col min="3" max="3" width="11.54296875" bestFit="1" customWidth="1"/>
    <col min="5" max="5" width="21.7265625" bestFit="1" customWidth="1"/>
  </cols>
  <sheetData>
    <row r="1" spans="1:8" ht="26.5" thickBot="1">
      <c r="A1" s="3" t="s">
        <v>10</v>
      </c>
      <c r="B1" s="3" t="s">
        <v>0</v>
      </c>
      <c r="C1" s="3" t="s">
        <v>1</v>
      </c>
    </row>
    <row r="2" spans="1:8" ht="26.5" thickBot="1">
      <c r="A2" s="20" t="s">
        <v>75</v>
      </c>
      <c r="B2" s="20">
        <v>0.20008230452674897</v>
      </c>
      <c r="C2" s="20">
        <f>B2</f>
        <v>0.20008230452674897</v>
      </c>
      <c r="E2" s="28" t="s">
        <v>12</v>
      </c>
      <c r="F2" s="27">
        <v>0.1608</v>
      </c>
      <c r="G2" s="29">
        <v>0.1608</v>
      </c>
      <c r="H2" s="25" t="b">
        <f>E2=A2</f>
        <v>0</v>
      </c>
    </row>
    <row r="3" spans="1:8" ht="26.5" thickBot="1">
      <c r="A3" s="20" t="s">
        <v>70</v>
      </c>
      <c r="B3" s="20">
        <v>0.13348148148148148</v>
      </c>
      <c r="C3" s="20">
        <f>B3+C2</f>
        <v>0.33356378600823045</v>
      </c>
      <c r="E3" s="28" t="s">
        <v>24</v>
      </c>
      <c r="F3" s="27">
        <v>0.1265</v>
      </c>
      <c r="G3" s="29">
        <v>0.2873</v>
      </c>
      <c r="H3" s="25" t="b">
        <f t="shared" ref="H3:H30" si="0">E3=A3</f>
        <v>0</v>
      </c>
    </row>
    <row r="4" spans="1:8" ht="26.5" thickBot="1">
      <c r="A4" s="20" t="s">
        <v>74</v>
      </c>
      <c r="B4" s="20">
        <v>0.10143209876543209</v>
      </c>
      <c r="C4" s="20">
        <f t="shared" ref="C4:C40" si="1">B4+C3</f>
        <v>0.43499588477366252</v>
      </c>
      <c r="E4" s="28" t="s">
        <v>16</v>
      </c>
      <c r="F4" s="27">
        <v>0.1075</v>
      </c>
      <c r="G4" s="29">
        <v>0.39479999999999998</v>
      </c>
      <c r="H4" s="25" t="b">
        <f t="shared" si="0"/>
        <v>0</v>
      </c>
    </row>
    <row r="5" spans="1:8" ht="26.5" thickBot="1">
      <c r="A5" s="20" t="s">
        <v>12</v>
      </c>
      <c r="B5" s="20">
        <v>8.7716049382716058E-2</v>
      </c>
      <c r="C5" s="20">
        <f t="shared" si="1"/>
        <v>0.52271193415637862</v>
      </c>
      <c r="E5" s="28" t="s">
        <v>14</v>
      </c>
      <c r="F5" s="27">
        <v>0.1043</v>
      </c>
      <c r="G5" s="29">
        <v>0.49909999999999999</v>
      </c>
      <c r="H5" s="25" t="b">
        <f t="shared" si="0"/>
        <v>0</v>
      </c>
    </row>
    <row r="6" spans="1:8" ht="26.5" thickBot="1">
      <c r="A6" s="20" t="s">
        <v>16</v>
      </c>
      <c r="B6" s="20">
        <v>7.9588477366255142E-2</v>
      </c>
      <c r="C6" s="20">
        <f t="shared" si="1"/>
        <v>0.60230041152263381</v>
      </c>
      <c r="E6" s="28" t="s">
        <v>18</v>
      </c>
      <c r="F6" s="27">
        <v>8.0699999999999994E-2</v>
      </c>
      <c r="G6" s="29">
        <v>0.57979999999999998</v>
      </c>
      <c r="H6" s="25" t="b">
        <f t="shared" si="0"/>
        <v>0</v>
      </c>
    </row>
    <row r="7" spans="1:8" ht="26.5" thickBot="1">
      <c r="A7" s="20" t="s">
        <v>20</v>
      </c>
      <c r="B7" s="20">
        <v>7.1987654320987665E-2</v>
      </c>
      <c r="C7" s="20">
        <f t="shared" si="1"/>
        <v>0.67428806584362144</v>
      </c>
      <c r="E7" s="28" t="s">
        <v>22</v>
      </c>
      <c r="F7" s="27">
        <v>7.46E-2</v>
      </c>
      <c r="G7" s="29">
        <v>0.65439999999999998</v>
      </c>
      <c r="H7" s="25" t="b">
        <f t="shared" si="0"/>
        <v>0</v>
      </c>
    </row>
    <row r="8" spans="1:8" ht="26.5" thickBot="1">
      <c r="A8" s="20" t="s">
        <v>76</v>
      </c>
      <c r="B8" s="20">
        <v>6.2296296296296294E-2</v>
      </c>
      <c r="C8" s="20">
        <f t="shared" si="1"/>
        <v>0.73658436213991774</v>
      </c>
      <c r="E8" s="28" t="s">
        <v>20</v>
      </c>
      <c r="F8" s="27">
        <v>6.9199999999999998E-2</v>
      </c>
      <c r="G8" s="29">
        <v>0.72360000000000002</v>
      </c>
      <c r="H8" s="25" t="b">
        <f t="shared" si="0"/>
        <v>0</v>
      </c>
    </row>
    <row r="9" spans="1:8" ht="26.5" thickBot="1">
      <c r="A9" s="20" t="s">
        <v>26</v>
      </c>
      <c r="B9" s="20">
        <v>5.401234567901235E-2</v>
      </c>
      <c r="C9" s="20">
        <f t="shared" si="1"/>
        <v>0.7905967078189301</v>
      </c>
      <c r="E9" s="28" t="s">
        <v>31</v>
      </c>
      <c r="F9" s="27">
        <v>5.16E-2</v>
      </c>
      <c r="G9" s="29">
        <v>0.7752</v>
      </c>
      <c r="H9" s="25" t="b">
        <f t="shared" si="0"/>
        <v>0</v>
      </c>
    </row>
    <row r="10" spans="1:8" ht="26.5" thickBot="1">
      <c r="A10" s="20" t="s">
        <v>77</v>
      </c>
      <c r="B10" s="20">
        <v>3.4485596707818929E-2</v>
      </c>
      <c r="C10" s="20">
        <f t="shared" si="1"/>
        <v>0.82508230452674902</v>
      </c>
      <c r="E10" s="28" t="s">
        <v>26</v>
      </c>
      <c r="F10" s="27">
        <v>3.4500000000000003E-2</v>
      </c>
      <c r="G10" s="29">
        <v>0.80969999999999998</v>
      </c>
      <c r="H10" s="25" t="b">
        <f t="shared" si="0"/>
        <v>0</v>
      </c>
    </row>
    <row r="11" spans="1:8" ht="26.5" thickBot="1">
      <c r="A11" s="20" t="s">
        <v>78</v>
      </c>
      <c r="B11" s="20">
        <v>2.8000000000000001E-2</v>
      </c>
      <c r="C11" s="20">
        <f t="shared" si="1"/>
        <v>0.85308230452674905</v>
      </c>
      <c r="E11" s="28" t="s">
        <v>67</v>
      </c>
      <c r="F11" s="27">
        <v>2.7099999999999999E-2</v>
      </c>
      <c r="G11" s="29">
        <v>0.83679999999999999</v>
      </c>
      <c r="H11" s="25" t="b">
        <f t="shared" si="0"/>
        <v>0</v>
      </c>
    </row>
    <row r="12" spans="1:8" ht="26.5" thickBot="1">
      <c r="A12" s="20" t="s">
        <v>81</v>
      </c>
      <c r="B12" s="20">
        <v>2.7798353909465022E-2</v>
      </c>
      <c r="C12" s="20">
        <f t="shared" si="1"/>
        <v>0.8808806584362141</v>
      </c>
      <c r="E12" s="28" t="s">
        <v>34</v>
      </c>
      <c r="F12" s="27">
        <v>2.6100000000000002E-2</v>
      </c>
      <c r="G12" s="29">
        <v>0.8629</v>
      </c>
      <c r="H12" s="25" t="b">
        <f t="shared" si="0"/>
        <v>0</v>
      </c>
    </row>
    <row r="13" spans="1:8" ht="26.5" thickBot="1">
      <c r="A13" s="20" t="s">
        <v>71</v>
      </c>
      <c r="B13" s="20">
        <v>2.7456790123456792E-2</v>
      </c>
      <c r="C13" s="20">
        <f t="shared" si="1"/>
        <v>0.90833744855967091</v>
      </c>
      <c r="E13" s="28" t="s">
        <v>35</v>
      </c>
      <c r="F13" s="27">
        <v>2.0299999999999999E-2</v>
      </c>
      <c r="G13" s="29">
        <v>0.88319999999999999</v>
      </c>
      <c r="H13" s="25" t="b">
        <f t="shared" si="0"/>
        <v>0</v>
      </c>
    </row>
    <row r="14" spans="1:8" ht="26.5" thickBot="1">
      <c r="A14" s="20" t="s">
        <v>93</v>
      </c>
      <c r="B14" s="20">
        <v>1.7263374485596707E-2</v>
      </c>
      <c r="C14" s="20">
        <f t="shared" si="1"/>
        <v>0.92560082304526758</v>
      </c>
      <c r="E14" s="28" t="s">
        <v>28</v>
      </c>
      <c r="F14" s="27">
        <v>1.9900000000000001E-2</v>
      </c>
      <c r="G14" s="29">
        <v>0.90310000000000001</v>
      </c>
      <c r="H14" s="25" t="b">
        <f t="shared" si="0"/>
        <v>0</v>
      </c>
    </row>
    <row r="15" spans="1:8" ht="26.5" thickBot="1">
      <c r="A15" s="49" t="s">
        <v>82</v>
      </c>
      <c r="B15" s="49">
        <v>1.2358024691358025E-2</v>
      </c>
      <c r="C15" s="20">
        <f t="shared" si="1"/>
        <v>0.93795884773662563</v>
      </c>
      <c r="E15" s="28" t="s">
        <v>32</v>
      </c>
      <c r="F15" s="27">
        <v>1.5900000000000001E-2</v>
      </c>
      <c r="G15" s="29">
        <v>0.91900000000000004</v>
      </c>
      <c r="H15" s="25" t="b">
        <f t="shared" si="0"/>
        <v>0</v>
      </c>
    </row>
    <row r="16" spans="1:8" ht="26.5" thickBot="1">
      <c r="A16" s="20" t="s">
        <v>14</v>
      </c>
      <c r="B16" s="20">
        <v>1.0271604938271605E-2</v>
      </c>
      <c r="C16" s="20">
        <f t="shared" si="1"/>
        <v>0.94823045267489725</v>
      </c>
      <c r="E16" s="28" t="s">
        <v>64</v>
      </c>
      <c r="F16" s="27">
        <v>1.0500000000000001E-2</v>
      </c>
      <c r="G16" s="29">
        <v>0.92949999999999999</v>
      </c>
      <c r="H16" s="25" t="b">
        <f t="shared" si="0"/>
        <v>0</v>
      </c>
    </row>
    <row r="17" spans="1:8" ht="26.5" thickBot="1">
      <c r="A17" s="20" t="s">
        <v>32</v>
      </c>
      <c r="B17" s="20">
        <v>1.0222222222222223E-2</v>
      </c>
      <c r="C17" s="20">
        <f t="shared" si="1"/>
        <v>0.95845267489711949</v>
      </c>
      <c r="E17" s="28" t="s">
        <v>61</v>
      </c>
      <c r="F17" s="27">
        <v>9.7000000000000003E-3</v>
      </c>
      <c r="G17" s="29">
        <v>0.93920000000000003</v>
      </c>
      <c r="H17" s="25" t="b">
        <f t="shared" si="0"/>
        <v>0</v>
      </c>
    </row>
    <row r="18" spans="1:8" ht="26.5" thickBot="1">
      <c r="A18" s="20" t="s">
        <v>18</v>
      </c>
      <c r="B18" s="20">
        <v>5.5967078189300412E-3</v>
      </c>
      <c r="C18" s="20">
        <f t="shared" si="1"/>
        <v>0.96404938271604956</v>
      </c>
      <c r="E18" s="28" t="s">
        <v>30</v>
      </c>
      <c r="F18" s="27">
        <v>9.7000000000000003E-3</v>
      </c>
      <c r="G18" s="29">
        <v>0.94889999999999997</v>
      </c>
      <c r="H18" s="25" t="b">
        <f t="shared" si="0"/>
        <v>0</v>
      </c>
    </row>
    <row r="19" spans="1:8" ht="26.5" thickBot="1">
      <c r="A19" s="20" t="s">
        <v>72</v>
      </c>
      <c r="B19" s="20">
        <v>5.2674897119341568E-3</v>
      </c>
      <c r="C19" s="20">
        <f t="shared" si="1"/>
        <v>0.9693168724279837</v>
      </c>
      <c r="E19" s="28" t="s">
        <v>37</v>
      </c>
      <c r="F19" s="27">
        <v>9.2999999999999992E-3</v>
      </c>
      <c r="G19" s="29">
        <v>0.95820000000000005</v>
      </c>
      <c r="H19" s="25" t="b">
        <f t="shared" si="0"/>
        <v>0</v>
      </c>
    </row>
    <row r="20" spans="1:8" ht="26.5" thickBot="1">
      <c r="A20" s="20" t="s">
        <v>35</v>
      </c>
      <c r="B20" s="20">
        <v>4.2798353909465018E-3</v>
      </c>
      <c r="C20" s="20">
        <f t="shared" si="1"/>
        <v>0.97359670781893015</v>
      </c>
      <c r="E20" s="28" t="s">
        <v>36</v>
      </c>
      <c r="F20" s="27">
        <v>9.1000000000000004E-3</v>
      </c>
      <c r="G20" s="29">
        <v>0.96730000000000005</v>
      </c>
      <c r="H20" s="25" t="b">
        <f t="shared" si="0"/>
        <v>0</v>
      </c>
    </row>
    <row r="21" spans="1:8" ht="26.5" thickBot="1">
      <c r="A21" s="20" t="s">
        <v>24</v>
      </c>
      <c r="B21" s="20">
        <v>3.7448559670781897E-3</v>
      </c>
      <c r="C21" s="20">
        <f t="shared" si="1"/>
        <v>0.97734156378600834</v>
      </c>
      <c r="E21" s="28" t="s">
        <v>33</v>
      </c>
      <c r="F21" s="27">
        <v>7.7999999999999996E-3</v>
      </c>
      <c r="G21" s="29">
        <v>0.97509999999999997</v>
      </c>
      <c r="H21" s="25" t="b">
        <f t="shared" si="0"/>
        <v>0</v>
      </c>
    </row>
    <row r="22" spans="1:8" ht="26.5" thickBot="1">
      <c r="A22" s="20" t="s">
        <v>89</v>
      </c>
      <c r="B22" s="20">
        <v>3.3127572016460908E-3</v>
      </c>
      <c r="C22" s="20">
        <f t="shared" si="1"/>
        <v>0.98065432098765448</v>
      </c>
      <c r="E22" s="28" t="s">
        <v>72</v>
      </c>
      <c r="F22" s="27">
        <v>6.7999999999999996E-3</v>
      </c>
      <c r="G22" s="29">
        <v>0.9819</v>
      </c>
      <c r="H22" s="25" t="b">
        <f t="shared" si="0"/>
        <v>0</v>
      </c>
    </row>
    <row r="23" spans="1:8" ht="26.5" thickBot="1">
      <c r="A23" s="20" t="s">
        <v>90</v>
      </c>
      <c r="B23" s="20">
        <v>2.3868312757201649E-3</v>
      </c>
      <c r="C23" s="20">
        <f t="shared" si="1"/>
        <v>0.98304115226337463</v>
      </c>
      <c r="E23" s="28" t="s">
        <v>62</v>
      </c>
      <c r="F23" s="27">
        <v>6.7999999999999996E-3</v>
      </c>
      <c r="G23" s="29">
        <v>0.98870000000000002</v>
      </c>
      <c r="H23" s="25" t="b">
        <f t="shared" si="0"/>
        <v>0</v>
      </c>
    </row>
    <row r="24" spans="1:8" ht="26.5" thickBot="1">
      <c r="A24" s="20" t="s">
        <v>30</v>
      </c>
      <c r="B24" s="20">
        <v>2.0740740740740745E-3</v>
      </c>
      <c r="C24" s="20">
        <f t="shared" si="1"/>
        <v>0.98511522633744875</v>
      </c>
      <c r="E24" s="28" t="s">
        <v>65</v>
      </c>
      <c r="F24" s="27">
        <v>6.4999999999999997E-3</v>
      </c>
      <c r="G24" s="29">
        <v>0.99519999999999997</v>
      </c>
      <c r="H24" s="25" t="b">
        <f t="shared" si="0"/>
        <v>0</v>
      </c>
    </row>
    <row r="25" spans="1:8" ht="26.5" thickBot="1">
      <c r="A25" s="20" t="s">
        <v>86</v>
      </c>
      <c r="B25" s="20">
        <v>1.8189300411522635E-3</v>
      </c>
      <c r="C25" s="20">
        <f t="shared" si="1"/>
        <v>0.98693415637860105</v>
      </c>
      <c r="E25" s="28" t="s">
        <v>70</v>
      </c>
      <c r="F25" s="27">
        <v>1.5E-3</v>
      </c>
      <c r="G25" s="29">
        <v>0.99670000000000003</v>
      </c>
      <c r="H25" s="25" t="b">
        <f t="shared" si="0"/>
        <v>0</v>
      </c>
    </row>
    <row r="26" spans="1:8" ht="26.5" thickBot="1">
      <c r="A26" s="20" t="s">
        <v>38</v>
      </c>
      <c r="B26" s="20">
        <v>1.7283950617283952E-3</v>
      </c>
      <c r="C26" s="20">
        <f t="shared" si="1"/>
        <v>0.98866255144032944</v>
      </c>
      <c r="E26" s="28" t="s">
        <v>71</v>
      </c>
      <c r="F26" s="27">
        <v>1.1999999999999999E-3</v>
      </c>
      <c r="G26" s="29">
        <v>0.99790000000000001</v>
      </c>
      <c r="H26" s="25" t="b">
        <f t="shared" si="0"/>
        <v>0</v>
      </c>
    </row>
    <row r="27" spans="1:8" ht="26.5" thickBot="1">
      <c r="A27" s="20" t="s">
        <v>31</v>
      </c>
      <c r="B27" s="20">
        <v>1.4979423868312757E-3</v>
      </c>
      <c r="C27" s="20">
        <f t="shared" si="1"/>
        <v>0.99016049382716076</v>
      </c>
      <c r="E27" s="28" t="s">
        <v>38</v>
      </c>
      <c r="F27" s="27">
        <v>8.0000000000000004E-4</v>
      </c>
      <c r="G27" s="29">
        <v>0.99870000000000003</v>
      </c>
      <c r="H27" s="25" t="b">
        <f t="shared" si="0"/>
        <v>0</v>
      </c>
    </row>
    <row r="28" spans="1:8" ht="26.5" thickBot="1">
      <c r="A28" s="20" t="s">
        <v>22</v>
      </c>
      <c r="B28" s="20">
        <v>1.4814814814814814E-3</v>
      </c>
      <c r="C28" s="20">
        <f t="shared" si="1"/>
        <v>0.99164197530864229</v>
      </c>
      <c r="E28" s="28" t="s">
        <v>73</v>
      </c>
      <c r="F28" s="27">
        <v>6.9999999999999999E-4</v>
      </c>
      <c r="G28" s="29">
        <v>0.99939999999999996</v>
      </c>
      <c r="H28" s="25" t="b">
        <f t="shared" si="0"/>
        <v>0</v>
      </c>
    </row>
    <row r="29" spans="1:8" ht="26.5" thickBot="1">
      <c r="A29" s="20" t="s">
        <v>88</v>
      </c>
      <c r="B29" s="20">
        <v>1.2839506172839506E-3</v>
      </c>
      <c r="C29" s="20">
        <f t="shared" si="1"/>
        <v>0.99292592592592621</v>
      </c>
      <c r="E29" s="28" t="s">
        <v>63</v>
      </c>
      <c r="F29" s="27">
        <v>4.0000000000000002E-4</v>
      </c>
      <c r="G29" s="29">
        <v>0.99980000000000002</v>
      </c>
      <c r="H29" s="25" t="b">
        <f t="shared" si="0"/>
        <v>0</v>
      </c>
    </row>
    <row r="30" spans="1:8" ht="26.5" thickBot="1">
      <c r="A30" s="20" t="s">
        <v>91</v>
      </c>
      <c r="B30" s="20">
        <v>1.0082304526748973E-3</v>
      </c>
      <c r="C30" s="20">
        <f t="shared" si="1"/>
        <v>0.99393415637860116</v>
      </c>
      <c r="E30" s="30" t="s">
        <v>65</v>
      </c>
      <c r="F30" s="31">
        <v>2.0000000000000001E-4</v>
      </c>
      <c r="G30" s="32">
        <v>1</v>
      </c>
      <c r="H30" s="25" t="b">
        <f t="shared" si="0"/>
        <v>0</v>
      </c>
    </row>
    <row r="31" spans="1:8" ht="26.5" thickBot="1">
      <c r="A31" s="20" t="s">
        <v>65</v>
      </c>
      <c r="B31" s="20">
        <v>1.0082304526748973E-3</v>
      </c>
      <c r="C31" s="20">
        <f t="shared" si="1"/>
        <v>0.99494238683127612</v>
      </c>
    </row>
    <row r="32" spans="1:8" ht="26.5" thickBot="1">
      <c r="A32" s="20" t="s">
        <v>62</v>
      </c>
      <c r="B32" s="20">
        <v>9.8765432098765434E-4</v>
      </c>
      <c r="C32" s="20">
        <f t="shared" si="1"/>
        <v>0.9959300411522638</v>
      </c>
    </row>
    <row r="33" spans="1:3" ht="26.5" thickBot="1">
      <c r="A33" s="20" t="s">
        <v>33</v>
      </c>
      <c r="B33" s="20">
        <v>8.6419753086419758E-4</v>
      </c>
      <c r="C33" s="20">
        <f t="shared" si="1"/>
        <v>0.996794238683128</v>
      </c>
    </row>
    <row r="34" spans="1:3" ht="26.5" thickBot="1">
      <c r="A34" s="20" t="s">
        <v>63</v>
      </c>
      <c r="B34" s="20">
        <v>8.0658436213991772E-4</v>
      </c>
      <c r="C34" s="20">
        <f t="shared" si="1"/>
        <v>0.99760082304526787</v>
      </c>
    </row>
    <row r="35" spans="1:3" ht="26.5" thickBot="1">
      <c r="A35" s="20" t="s">
        <v>79</v>
      </c>
      <c r="B35" s="20">
        <v>6.4197530864197529E-4</v>
      </c>
      <c r="C35" s="20">
        <f t="shared" si="1"/>
        <v>0.99824279835390983</v>
      </c>
    </row>
    <row r="36" spans="1:3" ht="26.5" thickBot="1">
      <c r="A36" s="20" t="s">
        <v>87</v>
      </c>
      <c r="B36" s="20">
        <v>5.5967078189300419E-4</v>
      </c>
      <c r="C36" s="20">
        <f t="shared" si="1"/>
        <v>0.99880246913580284</v>
      </c>
    </row>
    <row r="37" spans="1:3" ht="26.5" thickBot="1">
      <c r="A37" s="20" t="s">
        <v>34</v>
      </c>
      <c r="B37" s="20">
        <v>4.1975308641975311E-4</v>
      </c>
      <c r="C37" s="20">
        <f t="shared" si="1"/>
        <v>0.99922222222222257</v>
      </c>
    </row>
    <row r="38" spans="1:3" ht="26.5" thickBot="1">
      <c r="A38" s="49" t="s">
        <v>83</v>
      </c>
      <c r="B38" s="49">
        <v>2.8806584362139919E-4</v>
      </c>
      <c r="C38" s="20">
        <f t="shared" si="1"/>
        <v>0.99951028806584397</v>
      </c>
    </row>
    <row r="39" spans="1:3" ht="26.5" thickBot="1">
      <c r="A39" s="48" t="s">
        <v>92</v>
      </c>
      <c r="B39" s="48">
        <v>2.3045267489711936E-4</v>
      </c>
      <c r="C39" s="20">
        <f t="shared" si="1"/>
        <v>0.99974074074074104</v>
      </c>
    </row>
    <row r="40" spans="1:3" ht="26.5" thickBot="1">
      <c r="A40" s="48" t="s">
        <v>64</v>
      </c>
      <c r="B40" s="48">
        <v>1.4814814814814815E-4</v>
      </c>
      <c r="C40" s="20">
        <f t="shared" si="1"/>
        <v>0.99988888888888916</v>
      </c>
    </row>
    <row r="41" spans="1:3" ht="15" thickBot="1">
      <c r="A41" s="22"/>
      <c r="B41" s="22"/>
    </row>
    <row r="42" spans="1:3" ht="15" thickBot="1">
      <c r="A42" s="1"/>
      <c r="B42" s="1"/>
    </row>
    <row r="43" spans="1:3" ht="15" thickBot="1">
      <c r="A43" s="1"/>
      <c r="B43" s="1"/>
    </row>
    <row r="44" spans="1:3" ht="15" thickBot="1">
      <c r="A44" s="1"/>
      <c r="B44" s="1"/>
    </row>
    <row r="45" spans="1:3" ht="15" thickBot="1">
      <c r="A45" s="1"/>
      <c r="B45" s="1"/>
    </row>
    <row r="46" spans="1:3" ht="15" thickBot="1">
      <c r="A46" s="1"/>
      <c r="B46" s="1"/>
    </row>
    <row r="47" spans="1:3" ht="15" thickBot="1">
      <c r="A47" s="1"/>
      <c r="B47" s="1"/>
    </row>
    <row r="48" spans="1:3" ht="15" thickBot="1">
      <c r="A48" s="1"/>
      <c r="B48" s="1"/>
    </row>
    <row r="49" spans="1:3" ht="15" thickBot="1">
      <c r="A49" s="1"/>
      <c r="B49" s="1"/>
    </row>
    <row r="50" spans="1:3" ht="15" thickBot="1">
      <c r="A50" s="1"/>
      <c r="B50" s="1"/>
    </row>
    <row r="51" spans="1:3" ht="15" thickBot="1">
      <c r="A51" s="1"/>
      <c r="B51" s="1"/>
    </row>
    <row r="52" spans="1:3" ht="15" thickBot="1">
      <c r="A52" s="1"/>
      <c r="B52" s="1"/>
    </row>
    <row r="53" spans="1:3" ht="15" thickBot="1">
      <c r="A53" s="1"/>
      <c r="B53" s="1"/>
    </row>
    <row r="54" spans="1:3" ht="15" thickBot="1">
      <c r="A54" s="1"/>
      <c r="B54" s="1"/>
      <c r="C54" s="1"/>
    </row>
    <row r="55" spans="1:3" ht="15" thickBot="1">
      <c r="A55" s="1"/>
      <c r="B55" s="1"/>
      <c r="C55" s="1"/>
    </row>
    <row r="56" spans="1:3" ht="15" thickBot="1">
      <c r="A56" s="1"/>
      <c r="B56" s="1"/>
      <c r="C56" s="1"/>
    </row>
    <row r="57" spans="1:3" ht="15" thickBot="1">
      <c r="A57" s="1"/>
      <c r="B57" s="1"/>
      <c r="C57" s="1"/>
    </row>
    <row r="58" spans="1:3" ht="15" thickBot="1">
      <c r="A58" s="1"/>
      <c r="B58" s="1"/>
      <c r="C58" s="1"/>
    </row>
    <row r="59" spans="1:3" ht="15" thickBot="1">
      <c r="A59" s="1"/>
      <c r="B59" s="1"/>
      <c r="C59" s="1"/>
    </row>
    <row r="60" spans="1:3" ht="15" thickBot="1">
      <c r="A60" s="1"/>
      <c r="B60" s="1"/>
      <c r="C60" s="1"/>
    </row>
    <row r="61" spans="1:3" ht="15" thickBot="1">
      <c r="A61" s="1"/>
      <c r="B61" s="1"/>
      <c r="C61" s="1"/>
    </row>
    <row r="62" spans="1:3" ht="15" thickBot="1">
      <c r="A62" s="1"/>
      <c r="B62" s="1"/>
      <c r="C62" s="1"/>
    </row>
    <row r="63" spans="1:3" ht="15" thickBot="1">
      <c r="A63" s="1"/>
      <c r="B63" s="1"/>
      <c r="C63" s="1"/>
    </row>
    <row r="64" spans="1:3" ht="15" thickBot="1">
      <c r="A64" s="1"/>
      <c r="B64" s="1"/>
      <c r="C64" s="1"/>
    </row>
    <row r="65" spans="1:3" ht="15" thickBot="1">
      <c r="A65" s="1"/>
      <c r="B65" s="1"/>
      <c r="C65" s="1"/>
    </row>
    <row r="66" spans="1:3" ht="15" thickBot="1">
      <c r="A66" s="1"/>
      <c r="B66" s="1"/>
      <c r="C66" s="1"/>
    </row>
  </sheetData>
  <autoFilter ref="A1:C1">
    <sortState ref="A2:C40">
      <sortCondition descending="1" ref="B1"/>
    </sortState>
  </autoFilter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J14"/>
  <sheetViews>
    <sheetView workbookViewId="0">
      <selection activeCell="L2" sqref="L2:L13"/>
    </sheetView>
  </sheetViews>
  <sheetFormatPr defaultColWidth="9" defaultRowHeight="14.5"/>
  <sheetData>
    <row r="1" spans="1:10" ht="27.5" thickBot="1">
      <c r="A1" s="9" t="s">
        <v>40</v>
      </c>
      <c r="B1" s="9" t="s">
        <v>2</v>
      </c>
      <c r="C1" s="9" t="s">
        <v>2</v>
      </c>
      <c r="D1" s="34" t="s">
        <v>68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1" t="s">
        <v>8</v>
      </c>
    </row>
    <row r="2" spans="1:10" ht="15" thickBot="1">
      <c r="A2" s="21" t="s">
        <v>11</v>
      </c>
      <c r="B2" s="10">
        <f t="shared" ref="B2:B13" si="0">C2/$C$14</f>
        <v>0.19503546099290778</v>
      </c>
      <c r="C2" s="10">
        <v>5.5E-2</v>
      </c>
      <c r="D2" s="23">
        <v>0</v>
      </c>
      <c r="E2" s="23">
        <v>0.92600000000000005</v>
      </c>
      <c r="F2" s="23">
        <v>3.5999999999999997E-2</v>
      </c>
      <c r="G2" s="23">
        <v>3.2000000000000001E-2</v>
      </c>
      <c r="H2" s="23">
        <v>3.0000000000000001E-3</v>
      </c>
      <c r="I2" s="23">
        <v>0</v>
      </c>
      <c r="J2" s="23">
        <v>3.0000000000000001E-3</v>
      </c>
    </row>
    <row r="3" spans="1:10" ht="15" thickBot="1">
      <c r="A3" s="21" t="s">
        <v>21</v>
      </c>
      <c r="B3" s="10">
        <f t="shared" si="0"/>
        <v>0.1702127659574468</v>
      </c>
      <c r="C3" s="10">
        <v>4.8000000000000001E-2</v>
      </c>
      <c r="D3" s="23">
        <v>0.89400000000000002</v>
      </c>
      <c r="E3" s="23">
        <v>8.2000000000000003E-2</v>
      </c>
      <c r="F3" s="23">
        <v>2.4E-2</v>
      </c>
      <c r="G3" s="23">
        <v>0</v>
      </c>
      <c r="H3" s="23">
        <v>0</v>
      </c>
      <c r="I3" s="23">
        <v>0</v>
      </c>
      <c r="J3" s="23">
        <v>0</v>
      </c>
    </row>
    <row r="4" spans="1:10" ht="15" thickBot="1">
      <c r="A4" s="21" t="s">
        <v>17</v>
      </c>
      <c r="B4" s="10">
        <f t="shared" si="0"/>
        <v>0.14893617021276595</v>
      </c>
      <c r="C4" s="10">
        <v>4.2000000000000003E-2</v>
      </c>
      <c r="D4" s="23">
        <v>0.79</v>
      </c>
      <c r="E4" s="23">
        <v>0.06</v>
      </c>
      <c r="F4" s="23">
        <v>0.14899999999999999</v>
      </c>
      <c r="G4" s="23">
        <v>0</v>
      </c>
      <c r="H4" s="23">
        <v>0</v>
      </c>
      <c r="I4" s="23">
        <v>0</v>
      </c>
      <c r="J4" s="23">
        <v>0</v>
      </c>
    </row>
    <row r="5" spans="1:10" ht="15" thickBot="1">
      <c r="A5" s="21" t="s">
        <v>15</v>
      </c>
      <c r="B5" s="10">
        <f t="shared" si="0"/>
        <v>0.1276595744680851</v>
      </c>
      <c r="C5" s="10">
        <v>3.5999999999999997E-2</v>
      </c>
      <c r="D5" s="23">
        <v>0.83799999999999997</v>
      </c>
      <c r="E5" s="23">
        <v>0.1</v>
      </c>
      <c r="F5" s="23">
        <v>5.6000000000000001E-2</v>
      </c>
      <c r="G5" s="23">
        <v>6.0000000000000001E-3</v>
      </c>
      <c r="H5" s="23">
        <v>0</v>
      </c>
      <c r="I5" s="23">
        <v>0</v>
      </c>
      <c r="J5" s="23">
        <v>0</v>
      </c>
    </row>
    <row r="6" spans="1:10" ht="15" thickBot="1">
      <c r="A6" s="21" t="s">
        <v>19</v>
      </c>
      <c r="B6" s="10">
        <f t="shared" si="0"/>
        <v>0.10283687943262411</v>
      </c>
      <c r="C6" s="10">
        <v>2.9000000000000001E-2</v>
      </c>
      <c r="D6" s="23">
        <v>0.878</v>
      </c>
      <c r="E6" s="23">
        <v>6.7000000000000004E-2</v>
      </c>
      <c r="F6" s="23">
        <v>2.8000000000000001E-2</v>
      </c>
      <c r="G6" s="23">
        <v>2.8000000000000001E-2</v>
      </c>
      <c r="H6" s="23">
        <v>0</v>
      </c>
      <c r="I6" s="23">
        <v>0</v>
      </c>
      <c r="J6" s="23">
        <v>0</v>
      </c>
    </row>
    <row r="7" spans="1:10" ht="15" thickBot="1">
      <c r="A7" s="21" t="s">
        <v>13</v>
      </c>
      <c r="B7" s="10">
        <f t="shared" si="0"/>
        <v>9.5744680851063815E-2</v>
      </c>
      <c r="C7" s="10">
        <v>2.7E-2</v>
      </c>
      <c r="D7" s="23">
        <v>0</v>
      </c>
      <c r="E7" s="23">
        <v>0.94199999999999995</v>
      </c>
      <c r="F7" s="23">
        <v>2.5000000000000001E-2</v>
      </c>
      <c r="G7" s="23">
        <v>1.2999999999999999E-2</v>
      </c>
      <c r="H7" s="23">
        <v>0.02</v>
      </c>
      <c r="I7" s="23">
        <v>0</v>
      </c>
      <c r="J7" s="23">
        <v>0</v>
      </c>
    </row>
    <row r="8" spans="1:10" ht="15" thickBot="1">
      <c r="A8" s="21" t="s">
        <v>23</v>
      </c>
      <c r="B8" s="10">
        <f t="shared" si="0"/>
        <v>6.7375886524822681E-2</v>
      </c>
      <c r="C8" s="10">
        <v>1.9E-2</v>
      </c>
      <c r="D8" s="23">
        <v>0</v>
      </c>
      <c r="E8" s="23">
        <v>0.88700000000000001</v>
      </c>
      <c r="F8" s="23">
        <v>0.1</v>
      </c>
      <c r="G8" s="23">
        <v>8.9999999999999993E-3</v>
      </c>
      <c r="H8" s="23">
        <v>5.0000000000000001E-3</v>
      </c>
      <c r="I8" s="23">
        <v>0</v>
      </c>
      <c r="J8" s="23">
        <v>0</v>
      </c>
    </row>
    <row r="9" spans="1:10" ht="15" thickBot="1">
      <c r="A9" s="36" t="s">
        <v>66</v>
      </c>
      <c r="B9" s="10">
        <f t="shared" si="0"/>
        <v>3.1914893617021274E-2</v>
      </c>
      <c r="C9" s="10">
        <v>8.9999999999999993E-3</v>
      </c>
      <c r="D9" s="37">
        <v>0.79200000000000004</v>
      </c>
      <c r="E9" s="23">
        <v>0.20799999999999999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</row>
    <row r="10" spans="1:10" ht="15" thickBot="1">
      <c r="A10" s="21" t="s">
        <v>29</v>
      </c>
      <c r="B10" s="10">
        <f t="shared" si="0"/>
        <v>2.1276595744680851E-2</v>
      </c>
      <c r="C10" s="10">
        <v>6.0000000000000001E-3</v>
      </c>
      <c r="D10" s="23">
        <v>0.877</v>
      </c>
      <c r="E10" s="23">
        <v>0.123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</row>
    <row r="11" spans="1:10" ht="15" thickBot="1">
      <c r="A11" s="21" t="s">
        <v>25</v>
      </c>
      <c r="B11" s="10">
        <f t="shared" si="0"/>
        <v>1.7730496453900707E-2</v>
      </c>
      <c r="C11" s="10">
        <v>5.0000000000000001E-3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1</v>
      </c>
      <c r="J11" s="23">
        <v>0</v>
      </c>
    </row>
    <row r="12" spans="1:10" ht="15" thickBot="1">
      <c r="A12" s="21" t="s">
        <v>27</v>
      </c>
      <c r="B12" s="10">
        <f t="shared" si="0"/>
        <v>1.0638297872340425E-2</v>
      </c>
      <c r="C12" s="10">
        <v>3.0000000000000001E-3</v>
      </c>
      <c r="D12" s="23">
        <v>0.93799999999999994</v>
      </c>
      <c r="E12" s="23">
        <v>5.0999999999999997E-2</v>
      </c>
      <c r="F12" s="23">
        <v>1.2E-2</v>
      </c>
      <c r="G12" s="23">
        <v>0</v>
      </c>
      <c r="H12" s="23">
        <v>0</v>
      </c>
      <c r="I12" s="23">
        <v>0</v>
      </c>
      <c r="J12" s="23">
        <v>0</v>
      </c>
    </row>
    <row r="13" spans="1:10" ht="26.5" thickBot="1">
      <c r="A13" s="1" t="s">
        <v>69</v>
      </c>
      <c r="B13" s="10">
        <f t="shared" si="0"/>
        <v>1.0638297872340425E-2</v>
      </c>
      <c r="C13" s="35">
        <v>3.0000000000000001E-3</v>
      </c>
      <c r="D13" s="22">
        <v>0.83899999999999997</v>
      </c>
      <c r="E13" s="23">
        <v>0.161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</row>
    <row r="14" spans="1:10">
      <c r="C14" s="25">
        <f>SUM(C2:C13)</f>
        <v>0.28200000000000003</v>
      </c>
    </row>
  </sheetData>
  <autoFilter ref="A1:J1">
    <sortState ref="A2:J14">
      <sortCondition descending="1" ref="B1"/>
    </sortState>
  </autoFilter>
  <pageMargins left="0.69930555555555596" right="0.69930555555555596" top="0.75" bottom="0.75" header="0.3" footer="0.3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DeviceOSBrowserStatistics</vt:lpstr>
      <vt:lpstr>Sheet2</vt:lpstr>
      <vt:lpstr>Sheet3</vt:lpstr>
    </vt:vector>
  </TitlesOfParts>
  <Company>test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javed_a</cp:lastModifiedBy>
  <dcterms:created xsi:type="dcterms:W3CDTF">2016-05-16T19:44:42Z</dcterms:created>
  <dcterms:modified xsi:type="dcterms:W3CDTF">2017-09-20T16:17:09Z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1033-9.1.0.4550</vt:lpwstr>
  </property>
</Properties>
</file>
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18800" windowHeight="8240"/>
  </bookViews>
  <sheets>
    <sheet name="DeviceOSBrowserStatistics" sheetId="1" r:id="rId1"/>
    <sheet name="Sheet2" sheetId="2" r:id="rId2"/>
    <sheet name="Sheet1" sheetId="3" r:id="rId3"/>
  </sheets>
  <definedNames>
    <definedName name="_xlnm._FilterDatabase" localSheetId="2" hidden="1">Sheet1!$A$1:$C$1</definedName>
    <definedName name="_xlnm._FilterDatabase" localSheetId="1" hidden="1">Sheet2!$A$1:$C$1</definedName>
  </definedNames>
  <calcPr calcId="125725"/>
</workbook>
</file>

<file path=xl/calcChain.xml><?xml version="1.0" encoding="utf-8"?>
<calcChain xmlns="http://schemas.openxmlformats.org/spreadsheetml/2006/main">
  <c r="C4" i="2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"/>
  <c r="C2"/>
  <c r="J15" i="1"/>
  <c r="J14"/>
  <c r="J13"/>
  <c r="J12"/>
  <c r="J11"/>
  <c r="J10"/>
  <c r="J9"/>
  <c r="J8"/>
  <c r="J7"/>
  <c r="J6"/>
  <c r="J5"/>
  <c r="J4"/>
  <c r="C4" i="3"/>
  <c r="C5" s="1"/>
  <c r="C6" s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"/>
  <c r="C2"/>
  <c r="C55" i="1" l="1"/>
  <c r="B51" l="1"/>
  <c r="B45"/>
  <c r="B46"/>
  <c r="B50"/>
  <c r="B53"/>
  <c r="B49"/>
  <c r="B47"/>
  <c r="B43"/>
  <c r="B44"/>
  <c r="B48"/>
  <c r="B54"/>
  <c r="B52"/>
  <c r="E13" l="1"/>
  <c r="I13"/>
  <c r="H13"/>
  <c r="D13"/>
  <c r="G13"/>
  <c r="C13"/>
  <c r="F13"/>
  <c r="F4"/>
  <c r="C4"/>
  <c r="I4"/>
  <c r="E4"/>
  <c r="D4"/>
  <c r="H4"/>
  <c r="G4"/>
  <c r="G11"/>
  <c r="F11"/>
  <c r="C11"/>
  <c r="E11"/>
  <c r="I11"/>
  <c r="H11"/>
  <c r="D11"/>
  <c r="E5"/>
  <c r="I5"/>
  <c r="H5"/>
  <c r="D5"/>
  <c r="G5"/>
  <c r="F5"/>
  <c r="C5"/>
  <c r="D14"/>
  <c r="H14"/>
  <c r="G14"/>
  <c r="F14"/>
  <c r="C14"/>
  <c r="E14"/>
  <c r="I14"/>
  <c r="E12"/>
  <c r="C12"/>
  <c r="D12"/>
  <c r="H12"/>
  <c r="I12"/>
  <c r="G12"/>
  <c r="F12"/>
  <c r="H9"/>
  <c r="D9"/>
  <c r="I9"/>
  <c r="E9"/>
  <c r="F9"/>
  <c r="G9"/>
  <c r="C9"/>
  <c r="D10"/>
  <c r="H10"/>
  <c r="G10"/>
  <c r="F10"/>
  <c r="C10"/>
  <c r="E10"/>
  <c r="I10"/>
  <c r="D6"/>
  <c r="H6"/>
  <c r="G6"/>
  <c r="F6"/>
  <c r="C6"/>
  <c r="E6"/>
  <c r="I6"/>
  <c r="G15"/>
  <c r="C15"/>
  <c r="F15"/>
  <c r="E15"/>
  <c r="I15"/>
  <c r="H15"/>
  <c r="D15"/>
  <c r="F8"/>
  <c r="C8"/>
  <c r="E8"/>
  <c r="I8"/>
  <c r="D8"/>
  <c r="H8"/>
  <c r="G8"/>
  <c r="G7"/>
  <c r="F7"/>
  <c r="C7"/>
  <c r="E7"/>
  <c r="I7"/>
  <c r="H7"/>
  <c r="D7"/>
  <c r="B55"/>
  <c r="B8" l="1"/>
  <c r="B5"/>
  <c r="B7"/>
  <c r="B15"/>
  <c r="B6"/>
  <c r="B9"/>
  <c r="B12"/>
  <c r="B14"/>
  <c r="B11"/>
  <c r="B4"/>
  <c r="B10"/>
  <c r="B13"/>
  <c r="B16" l="1"/>
</calcChain>
</file>

<file path=xl/sharedStrings.xml><?xml version="1.0" encoding="utf-8"?>
<sst xmlns="http://schemas.openxmlformats.org/spreadsheetml/2006/main" count="155" uniqueCount="68">
  <si>
    <t>Market Share</t>
  </si>
  <si>
    <t>Cumulative %</t>
  </si>
  <si>
    <t>iPhone Device</t>
  </si>
  <si>
    <t>Device Usage</t>
  </si>
  <si>
    <t>9.X</t>
  </si>
  <si>
    <t>8.X</t>
  </si>
  <si>
    <t>7.X</t>
  </si>
  <si>
    <t>6.X</t>
  </si>
  <si>
    <t>5.X</t>
  </si>
  <si>
    <t>4.X</t>
  </si>
  <si>
    <t>iPhone 6</t>
  </si>
  <si>
    <t>iPhone 5s</t>
  </si>
  <si>
    <t>iPhone 6s</t>
  </si>
  <si>
    <t>iPhone 5</t>
  </si>
  <si>
    <t>iPhone 6+</t>
  </si>
  <si>
    <t>iPhone 5c</t>
  </si>
  <si>
    <t>iPhone 4</t>
  </si>
  <si>
    <t>Device</t>
  </si>
  <si>
    <t>iPh6s+ + iOS 9.x</t>
  </si>
  <si>
    <t>iPhone se</t>
  </si>
  <si>
    <t>iPh6 + iOS 9.x</t>
  </si>
  <si>
    <t>iPh5s + iOS 9.x</t>
  </si>
  <si>
    <t>iPh6s + iOS 9.x</t>
  </si>
  <si>
    <t>iPh5 + iOS 9.x</t>
  </si>
  <si>
    <t>iPh6+ + iOS 9.x</t>
  </si>
  <si>
    <t>iPh5c + iOS 9.x</t>
  </si>
  <si>
    <t>iPh4s + iOS 9.x</t>
  </si>
  <si>
    <t>iPh6 + iOS 8.x</t>
  </si>
  <si>
    <t>iPh5s + iOS 8.x</t>
  </si>
  <si>
    <t>iPh5 + iOS 8.x</t>
  </si>
  <si>
    <t>iPh6+ + iOS 8.x</t>
  </si>
  <si>
    <t>iPh4s + iOS 8.x</t>
  </si>
  <si>
    <t>iPh5s + iOS 7.x</t>
  </si>
  <si>
    <t>iPh5c + iOS 7.x</t>
  </si>
  <si>
    <t>iPh4s + iOS 7.x</t>
  </si>
  <si>
    <t>iPh4 + iOS 7.x</t>
  </si>
  <si>
    <t>iPh4 + iOS 6.x</t>
  </si>
  <si>
    <t>10. X</t>
  </si>
  <si>
    <t>iPh6 + iOS 10.x</t>
  </si>
  <si>
    <t>iPh5s + iOS 10.x</t>
  </si>
  <si>
    <t>iPh6s + iOS 10.x</t>
  </si>
  <si>
    <t>10.X</t>
  </si>
  <si>
    <t>iPhone 7</t>
  </si>
  <si>
    <t>iPhone 7+</t>
  </si>
  <si>
    <t>iPh5 + iOS 10.x</t>
  </si>
  <si>
    <t>iPh6+ + iOS 10.x</t>
  </si>
  <si>
    <t>iPh5c + iOS 10.x</t>
  </si>
  <si>
    <t>iPh6s+ + iOS 10.x</t>
  </si>
  <si>
    <t>iPhSE + iOS 10.x</t>
  </si>
  <si>
    <t>iPh7 + iOS 10.x</t>
  </si>
  <si>
    <t>iPhone6s+</t>
  </si>
  <si>
    <t>iPhone 4s</t>
  </si>
  <si>
    <t>iPh7+ + iOS 10.x</t>
  </si>
  <si>
    <t>Below rable is formulae calculated - DO NOT TOUCH</t>
  </si>
  <si>
    <t>Raw Data from Website Below - Copy Paste individual device rows from the sheet generated from Java project
 - Yellow column is auto calculated - DO NOT TOUCH</t>
  </si>
  <si>
    <r>
      <t>iPh6s + iOS 10</t>
    </r>
    <r>
      <rPr>
        <sz val="10"/>
        <color indexed="8"/>
        <rFont val="Arial"/>
        <family val="2"/>
        <charset val="134"/>
      </rPr>
      <t>.x</t>
    </r>
  </si>
  <si>
    <t>11. X</t>
  </si>
  <si>
    <t>11.X</t>
  </si>
  <si>
    <t>iPh7 + iOS 11.x</t>
  </si>
  <si>
    <t>iPh7+ + iOS 11.x</t>
  </si>
  <si>
    <t>iPh6s+ + iOS 11.x</t>
  </si>
  <si>
    <t>iPh6+ + iOS 11.x</t>
  </si>
  <si>
    <t>iPhSE + iOS 11.x</t>
  </si>
  <si>
    <t>iPh6s + iOS 11.x</t>
  </si>
  <si>
    <t>iPh6 + iOS 11.x</t>
  </si>
  <si>
    <t>iPh5s + iOS 11.x</t>
  </si>
  <si>
    <t>iPh5 + iOS 6.x</t>
  </si>
  <si>
    <t>iPh4s + iOS 6.x</t>
  </si>
</sst>
</file>

<file path=xl/styles.xml><?xml version="1.0" encoding="utf-8"?>
<styleSheet xmlns="http://schemas.openxmlformats.org/spreadsheetml/2006/main">
  <fonts count="10">
    <font>
      <sz val="11"/>
      <color indexed="8"/>
      <name val="Calibri"/>
      <family val="2"/>
      <charset val="134"/>
    </font>
    <font>
      <sz val="10"/>
      <color indexed="8"/>
      <name val="Arial"/>
      <family val="2"/>
      <charset val="134"/>
    </font>
    <font>
      <sz val="10"/>
      <color indexed="63"/>
      <name val="Kepler-std"/>
      <charset val="134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rgb="FF444444"/>
      <name val="Arial"/>
      <family val="2"/>
    </font>
    <font>
      <b/>
      <sz val="10"/>
      <color indexed="8"/>
      <name val="Arial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96C67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3C47D"/>
        <bgColor indexed="64"/>
      </patternFill>
    </fill>
    <fill>
      <patternFill patternType="solid">
        <fgColor rgb="FFFF9900"/>
        <bgColor indexed="64"/>
      </patternFill>
    </fill>
  </fills>
  <borders count="8">
    <border>
      <left/>
      <right/>
      <top/>
      <bottom/>
      <diagonal/>
    </border>
    <border>
      <left style="medium">
        <color indexed="22"/>
      </left>
      <right style="medium">
        <color indexed="8"/>
      </right>
      <top style="medium">
        <color indexed="22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4">
    <xf numFmtId="0" fontId="0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</cellStyleXfs>
  <cellXfs count="37">
    <xf numFmtId="0" fontId="0" fillId="0" borderId="0" xfId="0" applyAlignment="1"/>
    <xf numFmtId="0" fontId="1" fillId="2" borderId="1" xfId="0" applyFont="1" applyFill="1" applyBorder="1" applyAlignment="1">
      <alignment wrapText="1"/>
    </xf>
    <xf numFmtId="0" fontId="2" fillId="4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0" fontId="1" fillId="0" borderId="0" xfId="0" applyNumberFormat="1" applyFont="1" applyBorder="1" applyAlignment="1">
      <alignment wrapText="1"/>
    </xf>
    <xf numFmtId="0" fontId="0" fillId="0" borderId="0" xfId="0" applyBorder="1" applyAlignment="1"/>
    <xf numFmtId="0" fontId="5" fillId="0" borderId="0" xfId="6" applyBorder="1"/>
    <xf numFmtId="0" fontId="5" fillId="0" borderId="0" xfId="2" applyBorder="1"/>
    <xf numFmtId="0" fontId="4" fillId="0" borderId="0" xfId="0" applyFont="1" applyBorder="1" applyAlignment="1">
      <alignment wrapText="1"/>
    </xf>
    <xf numFmtId="10" fontId="8" fillId="0" borderId="0" xfId="0" applyNumberFormat="1" applyFont="1" applyBorder="1" applyAlignment="1">
      <alignment horizontal="right" wrapText="1"/>
    </xf>
    <xf numFmtId="10" fontId="5" fillId="7" borderId="0" xfId="6" applyNumberFormat="1" applyFill="1" applyBorder="1"/>
    <xf numFmtId="0" fontId="5" fillId="0" borderId="0" xfId="5" applyBorder="1"/>
    <xf numFmtId="10" fontId="5" fillId="0" borderId="0" xfId="4" applyNumberFormat="1" applyBorder="1"/>
    <xf numFmtId="10" fontId="5" fillId="0" borderId="0" xfId="7" applyNumberFormat="1" applyBorder="1"/>
    <xf numFmtId="10" fontId="1" fillId="0" borderId="0" xfId="0" applyNumberFormat="1" applyFont="1" applyBorder="1" applyAlignment="1">
      <alignment horizontal="right" wrapText="1"/>
    </xf>
    <xf numFmtId="0" fontId="1" fillId="4" borderId="0" xfId="0" applyFont="1" applyFill="1" applyBorder="1" applyAlignment="1">
      <alignment wrapText="1"/>
    </xf>
    <xf numFmtId="10" fontId="1" fillId="4" borderId="0" xfId="0" applyNumberFormat="1" applyFont="1" applyFill="1" applyBorder="1" applyAlignment="1">
      <alignment wrapText="1"/>
    </xf>
    <xf numFmtId="0" fontId="7" fillId="5" borderId="2" xfId="0" applyFont="1" applyFill="1" applyBorder="1" applyAlignment="1">
      <alignment wrapText="1"/>
    </xf>
    <xf numFmtId="0" fontId="5" fillId="0" borderId="2" xfId="6" applyBorder="1"/>
    <xf numFmtId="10" fontId="6" fillId="0" borderId="2" xfId="0" applyNumberFormat="1" applyFont="1" applyBorder="1" applyAlignment="1">
      <alignment horizontal="right" wrapText="1"/>
    </xf>
    <xf numFmtId="10" fontId="4" fillId="6" borderId="2" xfId="0" applyNumberFormat="1" applyFont="1" applyFill="1" applyBorder="1" applyAlignment="1">
      <alignment horizontal="right"/>
    </xf>
    <xf numFmtId="0" fontId="5" fillId="0" borderId="2" xfId="2" applyBorder="1"/>
    <xf numFmtId="0" fontId="1" fillId="2" borderId="2" xfId="0" applyFont="1" applyFill="1" applyBorder="1" applyAlignment="1">
      <alignment wrapText="1"/>
    </xf>
    <xf numFmtId="10" fontId="9" fillId="3" borderId="2" xfId="0" applyNumberFormat="1" applyFont="1" applyFill="1" applyBorder="1" applyAlignment="1">
      <alignment wrapText="1"/>
    </xf>
    <xf numFmtId="10" fontId="1" fillId="3" borderId="2" xfId="0" applyNumberFormat="1" applyFont="1" applyFill="1" applyBorder="1" applyAlignment="1">
      <alignment wrapText="1"/>
    </xf>
    <xf numFmtId="10" fontId="0" fillId="0" borderId="0" xfId="0" applyNumberFormat="1" applyAlignment="1"/>
    <xf numFmtId="0" fontId="3" fillId="9" borderId="4" xfId="0" applyFont="1" applyFill="1" applyBorder="1" applyAlignment="1">
      <alignment horizontal="center" wrapText="1"/>
    </xf>
    <xf numFmtId="0" fontId="3" fillId="9" borderId="5" xfId="0" applyFont="1" applyFill="1" applyBorder="1" applyAlignment="1">
      <alignment horizontal="center" wrapText="1"/>
    </xf>
    <xf numFmtId="0" fontId="3" fillId="10" borderId="6" xfId="0" applyFont="1" applyFill="1" applyBorder="1" applyAlignment="1">
      <alignment horizontal="center" wrapText="1"/>
    </xf>
    <xf numFmtId="10" fontId="4" fillId="10" borderId="7" xfId="0" applyNumberFormat="1" applyFont="1" applyFill="1" applyBorder="1" applyAlignment="1">
      <alignment horizontal="center" wrapText="1"/>
    </xf>
    <xf numFmtId="10" fontId="3" fillId="10" borderId="7" xfId="0" applyNumberFormat="1" applyFont="1" applyFill="1" applyBorder="1" applyAlignment="1">
      <alignment horizontal="center" wrapText="1"/>
    </xf>
    <xf numFmtId="0" fontId="4" fillId="10" borderId="6" xfId="0" applyFont="1" applyFill="1" applyBorder="1" applyAlignment="1">
      <alignment horizontal="center" wrapText="1"/>
    </xf>
    <xf numFmtId="0" fontId="3" fillId="11" borderId="6" xfId="0" applyFont="1" applyFill="1" applyBorder="1" applyAlignment="1">
      <alignment horizontal="center" wrapText="1"/>
    </xf>
    <xf numFmtId="0" fontId="7" fillId="8" borderId="0" xfId="0" applyFont="1" applyFill="1" applyBorder="1" applyAlignment="1">
      <alignment horizontal="center" wrapText="1"/>
    </xf>
    <xf numFmtId="0" fontId="7" fillId="8" borderId="0" xfId="0" applyFont="1" applyFill="1" applyBorder="1" applyAlignment="1">
      <alignment horizontal="center" wrapText="1"/>
    </xf>
    <xf numFmtId="0" fontId="7" fillId="8" borderId="3" xfId="0" applyFont="1" applyFill="1" applyBorder="1" applyAlignment="1">
      <alignment horizontal="center" vertical="center" wrapText="1"/>
    </xf>
    <xf numFmtId="0" fontId="9" fillId="0" borderId="0" xfId="0" applyFont="1" applyBorder="1" applyAlignment="1">
      <alignment wrapText="1"/>
    </xf>
  </cellXfs>
  <cellStyles count="14">
    <cellStyle name="Normal" xfId="0" builtinId="0"/>
    <cellStyle name="Normal 10" xfId="9"/>
    <cellStyle name="Normal 11" xfId="10"/>
    <cellStyle name="Normal 12" xfId="11"/>
    <cellStyle name="Normal 13" xfId="12"/>
    <cellStyle name="Normal 15" xfId="13"/>
    <cellStyle name="Normal 2" xfId="2"/>
    <cellStyle name="Normal 3" xfId="3"/>
    <cellStyle name="Normal 4" xfId="1"/>
    <cellStyle name="Normal 5" xfId="4"/>
    <cellStyle name="Normal 6" xfId="5"/>
    <cellStyle name="Normal 7" xfId="6"/>
    <cellStyle name="Normal 8" xfId="7"/>
    <cellStyle name="Normal 9" xf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959"/>
  <sheetViews>
    <sheetView tabSelected="1" topLeftCell="A37" workbookViewId="0">
      <selection activeCell="C43" sqref="C43:J54"/>
    </sheetView>
  </sheetViews>
  <sheetFormatPr defaultRowHeight="14.5"/>
  <cols>
    <col min="1" max="1" width="10.54296875" style="5" bestFit="1" customWidth="1"/>
    <col min="2" max="3" width="8.26953125" style="5" bestFit="1" customWidth="1"/>
    <col min="4" max="4" width="7.81640625" style="5" bestFit="1" customWidth="1"/>
    <col min="5" max="5" width="8.1796875" style="5" bestFit="1" customWidth="1"/>
    <col min="6" max="6" width="7.81640625" style="5" bestFit="1" customWidth="1"/>
    <col min="7" max="7" width="7.1796875" style="5" bestFit="1" customWidth="1"/>
    <col min="8" max="8" width="7.81640625" style="5" bestFit="1" customWidth="1"/>
    <col min="9" max="9" width="8" style="5" bestFit="1" customWidth="1"/>
    <col min="10" max="10" width="10.1796875" style="5" bestFit="1" customWidth="1"/>
    <col min="11" max="11" width="10.1796875" style="5" customWidth="1"/>
    <col min="12" max="12" width="14" style="5" customWidth="1"/>
    <col min="13" max="13" width="8" style="5" bestFit="1" customWidth="1"/>
    <col min="14" max="14" width="11.26953125" style="5" bestFit="1" customWidth="1"/>
    <col min="15" max="15" width="7.1796875" style="5" bestFit="1" customWidth="1"/>
    <col min="16" max="19" width="8.7265625" style="5"/>
    <col min="20" max="20" width="13.81640625" style="5" bestFit="1" customWidth="1"/>
    <col min="21" max="21" width="14.7265625" style="5" bestFit="1" customWidth="1"/>
    <col min="22" max="16384" width="8.7265625" style="5"/>
  </cols>
  <sheetData>
    <row r="1" spans="1:16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/>
      <c r="O1" s="3"/>
      <c r="P1" s="3"/>
    </row>
    <row r="2" spans="1:16">
      <c r="A2" s="35" t="s">
        <v>53</v>
      </c>
      <c r="B2" s="35"/>
      <c r="C2" s="35"/>
      <c r="D2" s="35"/>
      <c r="E2" s="35"/>
      <c r="F2" s="35"/>
      <c r="G2" s="35"/>
      <c r="H2" s="35"/>
      <c r="I2" s="35"/>
      <c r="J2" s="3"/>
      <c r="K2" s="3"/>
      <c r="L2" s="3"/>
      <c r="M2" s="3"/>
      <c r="N2" s="3"/>
      <c r="O2" s="3"/>
      <c r="P2" s="3"/>
    </row>
    <row r="3" spans="1:16" ht="26.5">
      <c r="A3" s="17" t="s">
        <v>2</v>
      </c>
      <c r="B3" s="17" t="s">
        <v>3</v>
      </c>
      <c r="C3" s="17" t="s">
        <v>57</v>
      </c>
      <c r="D3" s="17" t="s">
        <v>41</v>
      </c>
      <c r="E3" s="17" t="s">
        <v>4</v>
      </c>
      <c r="F3" s="17" t="s">
        <v>5</v>
      </c>
      <c r="G3" s="17" t="s">
        <v>6</v>
      </c>
      <c r="H3" s="17" t="s">
        <v>7</v>
      </c>
      <c r="I3" s="17" t="s">
        <v>8</v>
      </c>
      <c r="J3" s="17" t="s">
        <v>9</v>
      </c>
      <c r="K3" s="3"/>
      <c r="L3" s="22" t="s">
        <v>2</v>
      </c>
      <c r="M3" s="22" t="s">
        <v>0</v>
      </c>
      <c r="N3" s="22" t="s">
        <v>1</v>
      </c>
      <c r="O3" s="3"/>
      <c r="P3" s="3"/>
    </row>
    <row r="4" spans="1:16" ht="26">
      <c r="A4" s="18" t="s">
        <v>42</v>
      </c>
      <c r="B4" s="19">
        <f>SUM(C4:I4)</f>
        <v>0.11484593837535013</v>
      </c>
      <c r="C4" s="20">
        <f>$B$43*D43</f>
        <v>6.0868347338935572E-3</v>
      </c>
      <c r="D4" s="20">
        <f t="shared" ref="D4:J4" si="0">$B$43*E43</f>
        <v>0.10875910364145658</v>
      </c>
      <c r="E4" s="20">
        <f t="shared" si="0"/>
        <v>0</v>
      </c>
      <c r="F4" s="20">
        <f t="shared" si="0"/>
        <v>0</v>
      </c>
      <c r="G4" s="20">
        <f t="shared" si="0"/>
        <v>0</v>
      </c>
      <c r="H4" s="20">
        <f t="shared" si="0"/>
        <v>0</v>
      </c>
      <c r="I4" s="20">
        <f t="shared" si="0"/>
        <v>0</v>
      </c>
      <c r="J4" s="20">
        <f t="shared" si="0"/>
        <v>0</v>
      </c>
      <c r="K4" s="36"/>
      <c r="L4" s="23" t="s">
        <v>55</v>
      </c>
      <c r="M4" s="24">
        <v>0.1897773109243697</v>
      </c>
      <c r="N4" s="24">
        <v>0.1897773109243697</v>
      </c>
      <c r="O4" s="3"/>
      <c r="P4" s="3"/>
    </row>
    <row r="5" spans="1:16">
      <c r="A5" s="18" t="s">
        <v>43</v>
      </c>
      <c r="B5" s="19">
        <f t="shared" ref="B5:B15" si="1">SUM(C5:I5)</f>
        <v>5.6022408963585429E-2</v>
      </c>
      <c r="C5" s="20">
        <f>$B$44*D44</f>
        <v>1.2324929971988794E-3</v>
      </c>
      <c r="D5" s="20">
        <f t="shared" ref="D5:J5" si="2">$B$44*E44</f>
        <v>5.4789915966386549E-2</v>
      </c>
      <c r="E5" s="20">
        <f t="shared" si="2"/>
        <v>0</v>
      </c>
      <c r="F5" s="20">
        <f t="shared" si="2"/>
        <v>0</v>
      </c>
      <c r="G5" s="20">
        <f t="shared" si="2"/>
        <v>0</v>
      </c>
      <c r="H5" s="20">
        <f t="shared" si="2"/>
        <v>0</v>
      </c>
      <c r="I5" s="20">
        <f t="shared" si="2"/>
        <v>0</v>
      </c>
      <c r="J5" s="20">
        <f t="shared" si="2"/>
        <v>0</v>
      </c>
      <c r="K5" s="3"/>
      <c r="L5" s="23" t="s">
        <v>38</v>
      </c>
      <c r="M5" s="24">
        <v>0.184</v>
      </c>
      <c r="N5" s="24">
        <v>0.37377731092436972</v>
      </c>
      <c r="O5" s="3"/>
      <c r="P5" s="3"/>
    </row>
    <row r="6" spans="1:16" ht="26">
      <c r="A6" s="18" t="s">
        <v>50</v>
      </c>
      <c r="B6" s="19">
        <f t="shared" si="1"/>
        <v>7.7030812324929962E-2</v>
      </c>
      <c r="C6" s="20">
        <f>$B$45*D45</f>
        <v>4.005602240896358E-3</v>
      </c>
      <c r="D6" s="20">
        <f t="shared" ref="D6:J6" si="3">$B$45*E45</f>
        <v>7.0714285714285702E-2</v>
      </c>
      <c r="E6" s="20">
        <f t="shared" si="3"/>
        <v>2.3109243697478988E-3</v>
      </c>
      <c r="F6" s="20">
        <f t="shared" si="3"/>
        <v>0</v>
      </c>
      <c r="G6" s="20">
        <f t="shared" si="3"/>
        <v>0</v>
      </c>
      <c r="H6" s="20">
        <f t="shared" si="3"/>
        <v>0</v>
      </c>
      <c r="I6" s="20">
        <f t="shared" si="3"/>
        <v>0</v>
      </c>
      <c r="J6" s="20">
        <f t="shared" si="3"/>
        <v>0</v>
      </c>
      <c r="K6" s="3"/>
      <c r="L6" s="24" t="s">
        <v>45</v>
      </c>
      <c r="M6" s="24">
        <v>0.11300840336134453</v>
      </c>
      <c r="N6" s="24">
        <v>0.48678571428571427</v>
      </c>
      <c r="O6" s="3"/>
      <c r="P6" s="3"/>
    </row>
    <row r="7" spans="1:16">
      <c r="A7" s="18" t="s">
        <v>14</v>
      </c>
      <c r="B7" s="19">
        <f t="shared" si="1"/>
        <v>0.11484593837535013</v>
      </c>
      <c r="C7" s="20">
        <f>$B$46*D46</f>
        <v>9.1876750700280109E-4</v>
      </c>
      <c r="D7" s="20">
        <f t="shared" ref="D7:J7" si="4">$B$46*E46</f>
        <v>0.11300840336134453</v>
      </c>
      <c r="E7" s="20">
        <f t="shared" si="4"/>
        <v>9.1876750700280109E-4</v>
      </c>
      <c r="F7" s="20">
        <f t="shared" si="4"/>
        <v>0</v>
      </c>
      <c r="G7" s="20">
        <f t="shared" si="4"/>
        <v>0</v>
      </c>
      <c r="H7" s="20">
        <f t="shared" si="4"/>
        <v>0</v>
      </c>
      <c r="I7" s="20">
        <f t="shared" si="4"/>
        <v>0</v>
      </c>
      <c r="J7" s="20">
        <f t="shared" si="4"/>
        <v>0</v>
      </c>
      <c r="K7" s="3"/>
      <c r="L7" s="24" t="s">
        <v>49</v>
      </c>
      <c r="M7" s="24">
        <v>0.10875910364145658</v>
      </c>
      <c r="N7" s="24">
        <v>0.59554481792717084</v>
      </c>
      <c r="O7" s="3"/>
      <c r="P7" s="3"/>
    </row>
    <row r="8" spans="1:16" ht="26">
      <c r="A8" s="21" t="s">
        <v>19</v>
      </c>
      <c r="B8" s="19">
        <f t="shared" si="1"/>
        <v>5.1820728291316516E-2</v>
      </c>
      <c r="C8" s="20">
        <f>$B$47*D47</f>
        <v>8.8095238095238081E-4</v>
      </c>
      <c r="D8" s="20">
        <f t="shared" ref="D8:J8" si="5">$B$47*E47</f>
        <v>5.0939775910364138E-2</v>
      </c>
      <c r="E8" s="20">
        <f t="shared" si="5"/>
        <v>0</v>
      </c>
      <c r="F8" s="20">
        <f t="shared" si="5"/>
        <v>0</v>
      </c>
      <c r="G8" s="20">
        <f t="shared" si="5"/>
        <v>0</v>
      </c>
      <c r="H8" s="20">
        <f t="shared" si="5"/>
        <v>0</v>
      </c>
      <c r="I8" s="20">
        <f t="shared" si="5"/>
        <v>0</v>
      </c>
      <c r="J8" s="20">
        <f t="shared" si="5"/>
        <v>0</v>
      </c>
      <c r="K8" s="3"/>
      <c r="L8" s="24" t="s">
        <v>39</v>
      </c>
      <c r="M8" s="24">
        <v>8.4901960784313724E-2</v>
      </c>
      <c r="N8" s="24">
        <v>0.68044677871148451</v>
      </c>
      <c r="O8" s="3"/>
      <c r="P8" s="3"/>
    </row>
    <row r="9" spans="1:16" ht="26">
      <c r="A9" s="18" t="s">
        <v>12</v>
      </c>
      <c r="B9" s="19">
        <f t="shared" si="1"/>
        <v>0.19747899159663859</v>
      </c>
      <c r="C9" s="20">
        <f>$B$48*D48</f>
        <v>9.8739495798319315E-4</v>
      </c>
      <c r="D9" s="20">
        <f t="shared" ref="D9:J9" si="6">$B$48*E48</f>
        <v>0.1897773109243697</v>
      </c>
      <c r="E9" s="20">
        <f t="shared" si="6"/>
        <v>6.7142857142857134E-3</v>
      </c>
      <c r="F9" s="20">
        <f t="shared" si="6"/>
        <v>0</v>
      </c>
      <c r="G9" s="20">
        <f t="shared" si="6"/>
        <v>0</v>
      </c>
      <c r="H9" s="20">
        <f t="shared" si="6"/>
        <v>0</v>
      </c>
      <c r="I9" s="20">
        <f t="shared" si="6"/>
        <v>0</v>
      </c>
      <c r="J9" s="20">
        <f t="shared" si="6"/>
        <v>0</v>
      </c>
      <c r="K9" s="3"/>
      <c r="L9" s="24" t="s">
        <v>47</v>
      </c>
      <c r="M9" s="24">
        <v>7.0714285714285702E-2</v>
      </c>
      <c r="N9" s="24">
        <v>0.75116106442577024</v>
      </c>
      <c r="O9" s="3"/>
      <c r="P9" s="3"/>
    </row>
    <row r="10" spans="1:16" ht="26">
      <c r="A10" s="21" t="s">
        <v>10</v>
      </c>
      <c r="B10" s="19">
        <f t="shared" si="1"/>
        <v>0.19066666666666665</v>
      </c>
      <c r="C10" s="20">
        <f>$B$49*D49</f>
        <v>2.8571428571428567E-3</v>
      </c>
      <c r="D10" s="20">
        <f t="shared" ref="D10:J10" si="7">$B$49*E49</f>
        <v>0.184</v>
      </c>
      <c r="E10" s="20">
        <f t="shared" si="7"/>
        <v>1.5238095238095239E-3</v>
      </c>
      <c r="F10" s="20">
        <f t="shared" si="7"/>
        <v>2.2857142857142855E-3</v>
      </c>
      <c r="G10" s="20">
        <f t="shared" si="7"/>
        <v>0</v>
      </c>
      <c r="H10" s="20">
        <f t="shared" si="7"/>
        <v>0</v>
      </c>
      <c r="I10" s="20">
        <f t="shared" si="7"/>
        <v>0</v>
      </c>
      <c r="J10" s="20">
        <f t="shared" si="7"/>
        <v>0</v>
      </c>
      <c r="K10" s="3"/>
      <c r="L10" s="24" t="s">
        <v>52</v>
      </c>
      <c r="M10" s="24">
        <v>5.4789915966386549E-2</v>
      </c>
      <c r="N10" s="24">
        <v>0.80595098039215674</v>
      </c>
      <c r="O10" s="3"/>
      <c r="P10" s="3"/>
    </row>
    <row r="11" spans="1:16" ht="26">
      <c r="A11" s="21" t="s">
        <v>11</v>
      </c>
      <c r="B11" s="19">
        <f t="shared" si="1"/>
        <v>9.8039215686274508E-2</v>
      </c>
      <c r="C11" s="20">
        <f>$B$50*D50</f>
        <v>1.1764705882352942E-3</v>
      </c>
      <c r="D11" s="20">
        <f t="shared" ref="D11:J11" si="8">$B$50*E50</f>
        <v>8.4901960784313724E-2</v>
      </c>
      <c r="E11" s="20">
        <f t="shared" si="8"/>
        <v>1.1666666666666665E-2</v>
      </c>
      <c r="F11" s="20">
        <f t="shared" si="8"/>
        <v>9.8039215686274506E-5</v>
      </c>
      <c r="G11" s="20">
        <f t="shared" si="8"/>
        <v>1.9607843137254901E-4</v>
      </c>
      <c r="H11" s="20">
        <f t="shared" si="8"/>
        <v>0</v>
      </c>
      <c r="I11" s="20">
        <f t="shared" si="8"/>
        <v>0</v>
      </c>
      <c r="J11" s="20">
        <f t="shared" si="8"/>
        <v>0</v>
      </c>
      <c r="K11" s="3"/>
      <c r="L11" s="24" t="s">
        <v>48</v>
      </c>
      <c r="M11" s="24">
        <v>5.0939775910364138E-2</v>
      </c>
      <c r="N11" s="24">
        <v>0.85689075630252087</v>
      </c>
      <c r="O11" s="3"/>
      <c r="P11" s="3"/>
    </row>
    <row r="12" spans="1:16">
      <c r="A12" s="21" t="s">
        <v>13</v>
      </c>
      <c r="B12" s="19">
        <f t="shared" si="1"/>
        <v>4.3417366946778703E-2</v>
      </c>
      <c r="C12" s="20">
        <f>$B$51*D51</f>
        <v>0</v>
      </c>
      <c r="D12" s="20">
        <f t="shared" ref="D12:H12" si="9">$B$51*E51</f>
        <v>4.1724089635854333E-2</v>
      </c>
      <c r="E12" s="20">
        <f t="shared" si="9"/>
        <v>1.6498599439775906E-3</v>
      </c>
      <c r="F12" s="20">
        <f t="shared" si="9"/>
        <v>0</v>
      </c>
      <c r="G12" s="20">
        <f t="shared" si="9"/>
        <v>0</v>
      </c>
      <c r="H12" s="20">
        <f t="shared" si="9"/>
        <v>4.3417366946778703E-5</v>
      </c>
      <c r="I12" s="20">
        <f>$B$51*J51</f>
        <v>0</v>
      </c>
      <c r="J12" s="20">
        <f>$B$51*K51</f>
        <v>0</v>
      </c>
      <c r="K12" s="3"/>
      <c r="L12" s="24" t="s">
        <v>44</v>
      </c>
      <c r="M12" s="24">
        <v>4.1724089635854333E-2</v>
      </c>
      <c r="N12" s="24">
        <v>0.89861484593837515</v>
      </c>
      <c r="O12" s="3"/>
      <c r="P12" s="3"/>
    </row>
    <row r="13" spans="1:16" ht="26">
      <c r="A13" s="21" t="s">
        <v>15</v>
      </c>
      <c r="B13" s="19">
        <f t="shared" si="1"/>
        <v>2.8011204481792711E-2</v>
      </c>
      <c r="C13" s="20">
        <f>$B$52*D52</f>
        <v>0</v>
      </c>
      <c r="D13" s="20">
        <f t="shared" ref="D13:J13" si="10">$B$52*E52</f>
        <v>2.705882352941176E-2</v>
      </c>
      <c r="E13" s="20">
        <f t="shared" si="10"/>
        <v>3.6414565826330526E-4</v>
      </c>
      <c r="F13" s="20">
        <f t="shared" si="10"/>
        <v>0</v>
      </c>
      <c r="G13" s="20">
        <f t="shared" si="10"/>
        <v>5.8823529411764701E-4</v>
      </c>
      <c r="H13" s="20">
        <f t="shared" si="10"/>
        <v>0</v>
      </c>
      <c r="I13" s="20">
        <f t="shared" si="10"/>
        <v>0</v>
      </c>
      <c r="J13" s="20">
        <f t="shared" si="10"/>
        <v>0</v>
      </c>
      <c r="K13" s="3"/>
      <c r="L13" s="24" t="s">
        <v>46</v>
      </c>
      <c r="M13" s="24">
        <v>2.705882352941176E-2</v>
      </c>
      <c r="N13" s="24">
        <v>0.92567366946778695</v>
      </c>
      <c r="O13" s="3"/>
      <c r="P13" s="3"/>
    </row>
    <row r="14" spans="1:16">
      <c r="A14" s="21" t="s">
        <v>51</v>
      </c>
      <c r="B14" s="19">
        <f t="shared" si="1"/>
        <v>2.100840336134454E-2</v>
      </c>
      <c r="C14" s="20">
        <f>$B$53*D53</f>
        <v>0</v>
      </c>
      <c r="D14" s="20">
        <f t="shared" ref="D14:J14" si="11">$B$53*E53</f>
        <v>0</v>
      </c>
      <c r="E14" s="20">
        <f t="shared" si="11"/>
        <v>1.9243697478991597E-2</v>
      </c>
      <c r="F14" s="20">
        <f t="shared" si="11"/>
        <v>6.3025210084033606E-4</v>
      </c>
      <c r="G14" s="20">
        <f t="shared" si="11"/>
        <v>8.8235294117647062E-4</v>
      </c>
      <c r="H14" s="20">
        <f t="shared" si="11"/>
        <v>2.5210084033613445E-4</v>
      </c>
      <c r="I14" s="20">
        <f t="shared" si="11"/>
        <v>0</v>
      </c>
      <c r="J14" s="20">
        <f t="shared" si="11"/>
        <v>0</v>
      </c>
      <c r="L14" s="24" t="s">
        <v>26</v>
      </c>
      <c r="M14" s="24">
        <v>1.9243697478991597E-2</v>
      </c>
      <c r="N14" s="24">
        <v>0.94491736694677853</v>
      </c>
      <c r="O14" s="3"/>
      <c r="P14" s="3"/>
    </row>
    <row r="15" spans="1:16">
      <c r="A15" s="21" t="s">
        <v>16</v>
      </c>
      <c r="B15" s="19">
        <f t="shared" si="1"/>
        <v>6.9607843137254894E-3</v>
      </c>
      <c r="C15" s="20">
        <f>$B$54*D54</f>
        <v>0</v>
      </c>
      <c r="D15" s="20">
        <f t="shared" ref="D15:J15" si="12">$B$54*E54</f>
        <v>0</v>
      </c>
      <c r="E15" s="20">
        <f t="shared" si="12"/>
        <v>0</v>
      </c>
      <c r="F15" s="20">
        <f t="shared" si="12"/>
        <v>0</v>
      </c>
      <c r="G15" s="20">
        <f t="shared" si="12"/>
        <v>6.7857142857142847E-3</v>
      </c>
      <c r="H15" s="20">
        <f t="shared" si="12"/>
        <v>1.7507002801120448E-4</v>
      </c>
      <c r="I15" s="20">
        <f t="shared" si="12"/>
        <v>0</v>
      </c>
      <c r="J15" s="20">
        <f t="shared" si="12"/>
        <v>0</v>
      </c>
      <c r="K15" s="3"/>
      <c r="L15" s="24" t="s">
        <v>21</v>
      </c>
      <c r="M15" s="24">
        <v>1.1666666666666665E-2</v>
      </c>
      <c r="N15" s="24">
        <v>0.95658403361344524</v>
      </c>
      <c r="O15" s="3"/>
      <c r="P15" s="3"/>
    </row>
    <row r="16" spans="1:16">
      <c r="A16" s="8"/>
      <c r="B16" s="9">
        <f>SUM(B4:B15)</f>
        <v>1.0001484593837535</v>
      </c>
      <c r="C16" s="8"/>
      <c r="D16" s="8"/>
      <c r="E16" s="8"/>
      <c r="F16" s="8"/>
      <c r="G16" s="8"/>
      <c r="H16" s="8"/>
      <c r="I16" s="8"/>
      <c r="J16" s="3"/>
      <c r="L16" s="24" t="s">
        <v>35</v>
      </c>
      <c r="M16" s="24">
        <v>6.7857142857142847E-3</v>
      </c>
      <c r="N16" s="24">
        <v>0.96336974789915952</v>
      </c>
      <c r="O16" s="3"/>
      <c r="P16" s="3"/>
    </row>
    <row r="17" spans="1:16">
      <c r="A17" s="3"/>
      <c r="B17" s="3"/>
      <c r="D17" s="3"/>
      <c r="E17" s="3"/>
      <c r="F17" s="3"/>
      <c r="G17" s="3"/>
      <c r="H17" s="3"/>
      <c r="I17" s="3"/>
      <c r="J17" s="3"/>
      <c r="K17" s="3"/>
      <c r="L17" s="24" t="s">
        <v>22</v>
      </c>
      <c r="M17" s="24">
        <v>6.7142857142857134E-3</v>
      </c>
      <c r="N17" s="24">
        <v>0.9700840336134452</v>
      </c>
      <c r="O17" s="3"/>
      <c r="P17" s="3"/>
    </row>
    <row r="18" spans="1:16">
      <c r="A18" s="3"/>
      <c r="B18" s="3"/>
      <c r="D18" s="3"/>
      <c r="E18" s="3"/>
      <c r="F18" s="3"/>
      <c r="G18" s="3"/>
      <c r="H18" s="3"/>
      <c r="I18" s="3"/>
      <c r="J18" s="3"/>
      <c r="K18" s="3"/>
      <c r="L18" s="24" t="s">
        <v>58</v>
      </c>
      <c r="M18" s="24">
        <v>6.0868347338935572E-3</v>
      </c>
      <c r="N18" s="24">
        <v>0.97617086834733879</v>
      </c>
      <c r="O18" s="3"/>
      <c r="P18" s="3"/>
    </row>
    <row r="19" spans="1:16" ht="26">
      <c r="A19" s="3"/>
      <c r="B19" s="3"/>
      <c r="D19" s="3"/>
      <c r="E19" s="3"/>
      <c r="F19" s="3"/>
      <c r="G19" s="3"/>
      <c r="H19" s="3"/>
      <c r="I19" s="3"/>
      <c r="J19" s="3"/>
      <c r="K19" s="3"/>
      <c r="L19" s="24" t="s">
        <v>60</v>
      </c>
      <c r="M19" s="24">
        <v>4.005602240896358E-3</v>
      </c>
      <c r="N19" s="24">
        <v>0.9801764705882352</v>
      </c>
      <c r="O19" s="3"/>
      <c r="P19" s="3"/>
    </row>
    <row r="20" spans="1:16">
      <c r="A20" s="3"/>
      <c r="B20" s="3"/>
      <c r="D20" s="3"/>
      <c r="E20" s="3"/>
      <c r="F20" s="3"/>
      <c r="G20" s="3"/>
      <c r="H20" s="3"/>
      <c r="I20" s="3"/>
      <c r="J20" s="3"/>
      <c r="K20" s="3"/>
      <c r="L20" s="24" t="s">
        <v>64</v>
      </c>
      <c r="M20" s="24">
        <v>2.8571428571428567E-3</v>
      </c>
      <c r="N20" s="24">
        <v>0.9830336134453781</v>
      </c>
      <c r="O20" s="3"/>
      <c r="P20" s="3"/>
    </row>
    <row r="21" spans="1:16" ht="26">
      <c r="A21" s="3"/>
      <c r="B21" s="3"/>
      <c r="D21" s="3"/>
      <c r="E21" s="3"/>
      <c r="F21" s="3"/>
      <c r="G21" s="3"/>
      <c r="H21" s="3"/>
      <c r="I21" s="3"/>
      <c r="J21" s="3"/>
      <c r="K21" s="3"/>
      <c r="L21" s="24" t="s">
        <v>18</v>
      </c>
      <c r="M21" s="24">
        <v>2.3109243697478988E-3</v>
      </c>
      <c r="N21" s="24">
        <v>0.98534453781512599</v>
      </c>
      <c r="O21" s="3"/>
      <c r="P21" s="3"/>
    </row>
    <row r="22" spans="1:16">
      <c r="A22" s="3"/>
      <c r="B22" s="3"/>
      <c r="D22" s="3"/>
      <c r="E22" s="3"/>
      <c r="F22" s="3"/>
      <c r="G22" s="3"/>
      <c r="H22" s="3"/>
      <c r="I22" s="3"/>
      <c r="J22" s="3"/>
      <c r="L22" s="24" t="s">
        <v>27</v>
      </c>
      <c r="M22" s="24">
        <v>2.2857142857142855E-3</v>
      </c>
      <c r="N22" s="24">
        <v>0.98763025210084032</v>
      </c>
      <c r="O22" s="3"/>
      <c r="P22" s="3"/>
    </row>
    <row r="23" spans="1:16">
      <c r="A23" s="3"/>
      <c r="B23" s="3"/>
      <c r="D23" s="3"/>
      <c r="E23" s="3"/>
      <c r="F23" s="3"/>
      <c r="G23" s="3"/>
      <c r="H23" s="3"/>
      <c r="I23" s="3"/>
      <c r="J23" s="3"/>
      <c r="L23" s="24" t="s">
        <v>23</v>
      </c>
      <c r="M23" s="24">
        <v>1.6498599439775906E-3</v>
      </c>
      <c r="N23" s="24">
        <v>0.98928011204481792</v>
      </c>
      <c r="O23" s="3"/>
      <c r="P23" s="3"/>
    </row>
    <row r="24" spans="1:16">
      <c r="A24" s="3"/>
      <c r="B24" s="3"/>
      <c r="D24" s="3"/>
      <c r="E24" s="3"/>
      <c r="F24" s="3"/>
      <c r="G24" s="3"/>
      <c r="H24" s="3"/>
      <c r="I24" s="3"/>
      <c r="J24" s="3"/>
      <c r="K24" s="3"/>
      <c r="L24" s="23" t="s">
        <v>20</v>
      </c>
      <c r="M24" s="24">
        <v>1.5238095238095239E-3</v>
      </c>
      <c r="N24" s="24">
        <v>0.9908039215686274</v>
      </c>
      <c r="O24" s="3"/>
      <c r="P24" s="3"/>
    </row>
    <row r="25" spans="1:16" ht="26">
      <c r="A25" s="3"/>
      <c r="B25" s="3"/>
      <c r="D25" s="3"/>
      <c r="E25" s="3"/>
      <c r="F25" s="3"/>
      <c r="G25" s="3"/>
      <c r="H25" s="3"/>
      <c r="I25" s="3"/>
      <c r="J25" s="3"/>
      <c r="K25" s="3"/>
      <c r="L25" s="24" t="s">
        <v>59</v>
      </c>
      <c r="M25" s="24">
        <v>1.2324929971988794E-3</v>
      </c>
      <c r="N25" s="24">
        <v>0.99203641456582625</v>
      </c>
      <c r="O25" s="3"/>
      <c r="P25" s="3"/>
    </row>
    <row r="26" spans="1:16" ht="26">
      <c r="A26" s="3"/>
      <c r="B26" s="3"/>
      <c r="D26" s="3"/>
      <c r="E26" s="3"/>
      <c r="F26" s="3"/>
      <c r="G26" s="3"/>
      <c r="H26" s="3"/>
      <c r="I26" s="3"/>
      <c r="J26" s="3"/>
      <c r="K26" s="3"/>
      <c r="L26" s="24" t="s">
        <v>65</v>
      </c>
      <c r="M26" s="24">
        <v>1.1764705882352942E-3</v>
      </c>
      <c r="N26" s="24">
        <v>0.99321288515406159</v>
      </c>
      <c r="O26" s="3"/>
      <c r="P26" s="3"/>
    </row>
    <row r="27" spans="1:16" ht="26">
      <c r="K27" s="3"/>
      <c r="L27" s="24" t="s">
        <v>63</v>
      </c>
      <c r="M27" s="24">
        <v>9.8739495798319315E-4</v>
      </c>
      <c r="N27" s="24">
        <v>0.99420028011204475</v>
      </c>
    </row>
    <row r="28" spans="1:16" ht="26">
      <c r="K28" s="3"/>
      <c r="L28" s="23" t="s">
        <v>61</v>
      </c>
      <c r="M28" s="24">
        <v>9.1876750700280109E-4</v>
      </c>
      <c r="N28" s="24">
        <v>0.99511904761904757</v>
      </c>
    </row>
    <row r="29" spans="1:16">
      <c r="K29" s="3"/>
      <c r="L29" s="24" t="s">
        <v>24</v>
      </c>
      <c r="M29" s="24">
        <v>9.1876750700280109E-4</v>
      </c>
      <c r="N29" s="24">
        <v>0.99603781512605039</v>
      </c>
    </row>
    <row r="30" spans="1:16">
      <c r="L30" s="24" t="s">
        <v>34</v>
      </c>
      <c r="M30" s="24">
        <v>8.8235294117647062E-4</v>
      </c>
      <c r="N30" s="24">
        <v>0.99692016806722683</v>
      </c>
    </row>
    <row r="31" spans="1:16" ht="26">
      <c r="K31" s="3"/>
      <c r="L31" s="24" t="s">
        <v>62</v>
      </c>
      <c r="M31" s="24">
        <v>8.8095238095238081E-4</v>
      </c>
      <c r="N31" s="24">
        <v>0.99780112044817926</v>
      </c>
    </row>
    <row r="32" spans="1:16">
      <c r="L32" s="24" t="s">
        <v>31</v>
      </c>
      <c r="M32" s="24">
        <v>6.3025210084033606E-4</v>
      </c>
      <c r="N32" s="24">
        <v>0.99843137254901959</v>
      </c>
    </row>
    <row r="33" spans="1:16">
      <c r="L33" s="24" t="s">
        <v>33</v>
      </c>
      <c r="M33" s="24">
        <v>5.8823529411764701E-4</v>
      </c>
      <c r="N33" s="24">
        <v>0.99901960784313726</v>
      </c>
    </row>
    <row r="34" spans="1:16">
      <c r="L34" s="24" t="s">
        <v>25</v>
      </c>
      <c r="M34" s="24">
        <v>3.6414565826330526E-4</v>
      </c>
      <c r="N34" s="24">
        <v>0.99938375350140052</v>
      </c>
    </row>
    <row r="35" spans="1:16">
      <c r="L35" s="24" t="s">
        <v>67</v>
      </c>
      <c r="M35" s="24">
        <v>2.5210084033613445E-4</v>
      </c>
      <c r="N35" s="24">
        <v>0.99963585434173663</v>
      </c>
    </row>
    <row r="36" spans="1:16">
      <c r="L36" s="24" t="s">
        <v>32</v>
      </c>
      <c r="M36" s="24">
        <v>1.9607843137254901E-4</v>
      </c>
      <c r="N36" s="24">
        <v>0.99983193277310922</v>
      </c>
    </row>
    <row r="37" spans="1:16">
      <c r="L37" s="24" t="s">
        <v>36</v>
      </c>
      <c r="M37" s="24">
        <v>1.7507002801120448E-4</v>
      </c>
      <c r="N37" s="24">
        <v>1.0000070028011205</v>
      </c>
    </row>
    <row r="38" spans="1:16">
      <c r="L38" s="23" t="s">
        <v>28</v>
      </c>
      <c r="M38" s="24">
        <v>9.8039215686274506E-5</v>
      </c>
      <c r="N38" s="24">
        <v>1.0001050420168067</v>
      </c>
    </row>
    <row r="39" spans="1:16">
      <c r="L39" s="24" t="s">
        <v>66</v>
      </c>
      <c r="M39" s="24">
        <v>4.3417366946778703E-5</v>
      </c>
      <c r="N39" s="24">
        <v>1.0001484593837535</v>
      </c>
    </row>
    <row r="40" spans="1:16">
      <c r="L40" s="24"/>
      <c r="M40" s="24"/>
      <c r="N40" s="24"/>
    </row>
    <row r="41" spans="1:16" ht="48" customHeight="1">
      <c r="A41" s="34" t="s">
        <v>54</v>
      </c>
      <c r="B41" s="34"/>
      <c r="C41" s="34"/>
      <c r="D41" s="34"/>
      <c r="E41" s="34"/>
      <c r="F41" s="34"/>
      <c r="G41" s="34"/>
      <c r="H41" s="34"/>
      <c r="I41" s="34"/>
      <c r="J41" s="34"/>
      <c r="K41" s="33"/>
      <c r="L41" s="3"/>
      <c r="M41" s="3"/>
      <c r="N41" s="3"/>
      <c r="O41" s="3"/>
      <c r="P41" s="3"/>
    </row>
    <row r="42" spans="1:16" ht="27">
      <c r="A42" s="2" t="s">
        <v>17</v>
      </c>
      <c r="B42" s="2" t="s">
        <v>3</v>
      </c>
      <c r="C42" s="2" t="s">
        <v>3</v>
      </c>
      <c r="D42" s="2" t="s">
        <v>56</v>
      </c>
      <c r="E42" s="2" t="s">
        <v>37</v>
      </c>
      <c r="F42" s="2" t="s">
        <v>4</v>
      </c>
      <c r="G42" s="2" t="s">
        <v>5</v>
      </c>
      <c r="H42" s="2" t="s">
        <v>6</v>
      </c>
      <c r="I42" s="2" t="s">
        <v>7</v>
      </c>
      <c r="J42" s="2" t="s">
        <v>8</v>
      </c>
      <c r="K42" s="2"/>
      <c r="M42" s="3"/>
      <c r="N42" s="2"/>
      <c r="O42" s="2"/>
      <c r="P42" s="3"/>
    </row>
    <row r="43" spans="1:16">
      <c r="A43" s="6" t="s">
        <v>42</v>
      </c>
      <c r="B43" s="10">
        <f t="shared" ref="B43:B54" si="13">C43/$C$55</f>
        <v>0.11484593837535013</v>
      </c>
      <c r="C43" s="25">
        <v>8.2000000000000003E-2</v>
      </c>
      <c r="D43" s="25">
        <v>5.2999999999999999E-2</v>
      </c>
      <c r="E43" s="25">
        <v>0.94699999999999995</v>
      </c>
      <c r="F43" s="25">
        <v>0</v>
      </c>
      <c r="G43" s="25">
        <v>0</v>
      </c>
      <c r="H43" s="25">
        <v>0</v>
      </c>
      <c r="I43" s="25">
        <v>0</v>
      </c>
      <c r="J43" s="25">
        <v>0</v>
      </c>
      <c r="K43" s="25"/>
      <c r="M43" s="3"/>
      <c r="N43" s="2"/>
      <c r="O43" s="2"/>
      <c r="P43" s="3"/>
    </row>
    <row r="44" spans="1:16">
      <c r="A44" s="6" t="s">
        <v>43</v>
      </c>
      <c r="B44" s="10">
        <f t="shared" si="13"/>
        <v>5.6022408963585429E-2</v>
      </c>
      <c r="C44" s="25">
        <v>0.04</v>
      </c>
      <c r="D44" s="25">
        <v>2.1999999999999999E-2</v>
      </c>
      <c r="E44" s="25">
        <v>0.97799999999999998</v>
      </c>
      <c r="F44" s="25">
        <v>0</v>
      </c>
      <c r="G44" s="25">
        <v>0</v>
      </c>
      <c r="H44" s="25">
        <v>0</v>
      </c>
      <c r="I44" s="25">
        <v>0</v>
      </c>
      <c r="J44" s="25">
        <v>0</v>
      </c>
      <c r="K44" s="25"/>
      <c r="M44" s="3"/>
      <c r="N44" s="2"/>
      <c r="O44" s="2"/>
      <c r="P44" s="3"/>
    </row>
    <row r="45" spans="1:16">
      <c r="A45" s="6" t="s">
        <v>50</v>
      </c>
      <c r="B45" s="10">
        <f t="shared" si="13"/>
        <v>7.7030812324929962E-2</v>
      </c>
      <c r="C45" s="25">
        <v>5.5E-2</v>
      </c>
      <c r="D45" s="25">
        <v>5.1999999999999998E-2</v>
      </c>
      <c r="E45" s="25">
        <v>0.91800000000000004</v>
      </c>
      <c r="F45" s="25">
        <v>0.03</v>
      </c>
      <c r="G45" s="25">
        <v>0</v>
      </c>
      <c r="H45" s="25">
        <v>0</v>
      </c>
      <c r="I45" s="25">
        <v>0</v>
      </c>
      <c r="J45" s="25">
        <v>0</v>
      </c>
      <c r="K45" s="25"/>
      <c r="M45" s="3"/>
      <c r="N45" s="2"/>
      <c r="O45" s="2"/>
      <c r="P45" s="3"/>
    </row>
    <row r="46" spans="1:16">
      <c r="A46" s="6" t="s">
        <v>14</v>
      </c>
      <c r="B46" s="10">
        <f t="shared" si="13"/>
        <v>0.11484593837535013</v>
      </c>
      <c r="C46" s="25">
        <v>8.2000000000000003E-2</v>
      </c>
      <c r="D46" s="25">
        <v>8.0000000000000002E-3</v>
      </c>
      <c r="E46" s="25">
        <v>0.98399999999999999</v>
      </c>
      <c r="F46" s="25">
        <v>8.0000000000000002E-3</v>
      </c>
      <c r="G46" s="25">
        <v>0</v>
      </c>
      <c r="H46" s="25">
        <v>0</v>
      </c>
      <c r="I46" s="25">
        <v>0</v>
      </c>
      <c r="J46" s="25">
        <v>0</v>
      </c>
      <c r="K46" s="25"/>
      <c r="M46" s="3"/>
      <c r="N46" s="11"/>
      <c r="O46" s="12"/>
      <c r="P46" s="3"/>
    </row>
    <row r="47" spans="1:16">
      <c r="A47" s="7" t="s">
        <v>19</v>
      </c>
      <c r="B47" s="10">
        <f t="shared" si="13"/>
        <v>5.1820728291316516E-2</v>
      </c>
      <c r="C47" s="25">
        <v>3.6999999999999998E-2</v>
      </c>
      <c r="D47" s="25">
        <v>1.7000000000000001E-2</v>
      </c>
      <c r="E47" s="25">
        <v>0.98299999999999998</v>
      </c>
      <c r="F47" s="25">
        <v>0</v>
      </c>
      <c r="G47" s="25">
        <v>0</v>
      </c>
      <c r="H47" s="25">
        <v>0</v>
      </c>
      <c r="I47" s="25">
        <v>0</v>
      </c>
      <c r="J47" s="25">
        <v>0</v>
      </c>
      <c r="K47" s="25"/>
      <c r="M47" s="3"/>
      <c r="N47" s="11"/>
      <c r="O47" s="12"/>
      <c r="P47" s="3"/>
    </row>
    <row r="48" spans="1:16">
      <c r="A48" s="6" t="s">
        <v>12</v>
      </c>
      <c r="B48" s="10">
        <f t="shared" si="13"/>
        <v>0.19747899159663862</v>
      </c>
      <c r="C48" s="25">
        <v>0.14099999999999999</v>
      </c>
      <c r="D48" s="25">
        <v>5.0000000000000001E-3</v>
      </c>
      <c r="E48" s="25">
        <v>0.96099999999999997</v>
      </c>
      <c r="F48" s="25">
        <v>3.4000000000000002E-2</v>
      </c>
      <c r="G48" s="25">
        <v>0</v>
      </c>
      <c r="H48" s="25">
        <v>0</v>
      </c>
      <c r="I48" s="25">
        <v>0</v>
      </c>
      <c r="J48" s="25">
        <v>0</v>
      </c>
      <c r="K48" s="25"/>
      <c r="M48" s="3"/>
      <c r="N48" s="11"/>
      <c r="O48" s="12"/>
      <c r="P48" s="3"/>
    </row>
    <row r="49" spans="1:16">
      <c r="A49" s="7" t="s">
        <v>10</v>
      </c>
      <c r="B49" s="10">
        <f t="shared" si="13"/>
        <v>0.19047619047619047</v>
      </c>
      <c r="C49" s="25">
        <v>0.13600000000000001</v>
      </c>
      <c r="D49" s="25">
        <v>1.4999999999999999E-2</v>
      </c>
      <c r="E49" s="25">
        <v>0.96599999999999997</v>
      </c>
      <c r="F49" s="25">
        <v>8.0000000000000002E-3</v>
      </c>
      <c r="G49" s="25">
        <v>1.2E-2</v>
      </c>
      <c r="H49" s="25">
        <v>0</v>
      </c>
      <c r="I49" s="25">
        <v>0</v>
      </c>
      <c r="J49" s="25">
        <v>0</v>
      </c>
      <c r="K49" s="25"/>
      <c r="M49" s="3"/>
      <c r="N49" s="11"/>
      <c r="O49" s="12"/>
      <c r="P49" s="3"/>
    </row>
    <row r="50" spans="1:16">
      <c r="A50" s="7" t="s">
        <v>11</v>
      </c>
      <c r="B50" s="10">
        <f t="shared" si="13"/>
        <v>9.8039215686274508E-2</v>
      </c>
      <c r="C50" s="25">
        <v>7.0000000000000007E-2</v>
      </c>
      <c r="D50" s="25">
        <v>1.2E-2</v>
      </c>
      <c r="E50" s="25">
        <v>0.86599999999999999</v>
      </c>
      <c r="F50" s="25">
        <v>0.11899999999999999</v>
      </c>
      <c r="G50" s="25">
        <v>1E-3</v>
      </c>
      <c r="H50" s="25">
        <v>2E-3</v>
      </c>
      <c r="I50" s="25">
        <v>0</v>
      </c>
      <c r="J50" s="25">
        <v>0</v>
      </c>
      <c r="K50" s="25"/>
      <c r="M50" s="3"/>
      <c r="N50" s="11"/>
      <c r="O50" s="12"/>
      <c r="P50" s="3"/>
    </row>
    <row r="51" spans="1:16">
      <c r="A51" s="7" t="s">
        <v>13</v>
      </c>
      <c r="B51" s="10">
        <f t="shared" si="13"/>
        <v>4.3417366946778703E-2</v>
      </c>
      <c r="C51" s="25">
        <v>3.1E-2</v>
      </c>
      <c r="D51" s="25">
        <v>0</v>
      </c>
      <c r="E51" s="25">
        <v>0.96099999999999997</v>
      </c>
      <c r="F51" s="25">
        <v>3.7999999999999999E-2</v>
      </c>
      <c r="G51" s="25">
        <v>0</v>
      </c>
      <c r="H51" s="25">
        <v>0</v>
      </c>
      <c r="I51" s="25">
        <v>1E-3</v>
      </c>
      <c r="J51" s="25">
        <v>0</v>
      </c>
      <c r="K51" s="25"/>
      <c r="M51" s="3"/>
      <c r="N51" s="11"/>
      <c r="O51" s="12"/>
      <c r="P51" s="3"/>
    </row>
    <row r="52" spans="1:16">
      <c r="A52" s="7" t="s">
        <v>15</v>
      </c>
      <c r="B52" s="10">
        <f t="shared" si="13"/>
        <v>2.8011204481792715E-2</v>
      </c>
      <c r="C52" s="25">
        <v>0.02</v>
      </c>
      <c r="D52" s="25">
        <v>0</v>
      </c>
      <c r="E52" s="25">
        <v>0.96599999999999997</v>
      </c>
      <c r="F52" s="25">
        <v>1.2999999999999999E-2</v>
      </c>
      <c r="G52" s="25">
        <v>0</v>
      </c>
      <c r="H52" s="25">
        <v>2.1000000000000001E-2</v>
      </c>
      <c r="I52" s="25">
        <v>0</v>
      </c>
      <c r="J52" s="25">
        <v>0</v>
      </c>
      <c r="K52" s="25"/>
      <c r="M52" s="3"/>
      <c r="N52" s="11"/>
      <c r="O52" s="12"/>
      <c r="P52" s="3"/>
    </row>
    <row r="53" spans="1:16">
      <c r="A53" s="7" t="s">
        <v>51</v>
      </c>
      <c r="B53" s="10">
        <f t="shared" si="13"/>
        <v>2.1008403361344536E-2</v>
      </c>
      <c r="C53" s="25">
        <v>1.4999999999999999E-2</v>
      </c>
      <c r="D53" s="25">
        <v>0</v>
      </c>
      <c r="E53" s="25">
        <v>0</v>
      </c>
      <c r="F53" s="25">
        <v>0.91600000000000004</v>
      </c>
      <c r="G53" s="25">
        <v>0.03</v>
      </c>
      <c r="H53" s="25">
        <v>4.2000000000000003E-2</v>
      </c>
      <c r="I53" s="25">
        <v>1.2E-2</v>
      </c>
      <c r="J53" s="25">
        <v>0</v>
      </c>
      <c r="K53" s="25"/>
      <c r="M53" s="3"/>
      <c r="N53" s="11"/>
      <c r="O53" s="12"/>
      <c r="P53" s="3"/>
    </row>
    <row r="54" spans="1:16">
      <c r="A54" s="7" t="s">
        <v>16</v>
      </c>
      <c r="B54" s="10">
        <f t="shared" si="13"/>
        <v>7.0028011204481787E-3</v>
      </c>
      <c r="C54" s="25">
        <v>5.0000000000000001E-3</v>
      </c>
      <c r="D54" s="25">
        <v>0</v>
      </c>
      <c r="E54" s="25">
        <v>0</v>
      </c>
      <c r="F54" s="25">
        <v>0</v>
      </c>
      <c r="G54" s="25">
        <v>0</v>
      </c>
      <c r="H54" s="25">
        <v>0.96899999999999997</v>
      </c>
      <c r="I54" s="25">
        <v>2.5000000000000001E-2</v>
      </c>
      <c r="J54" s="25">
        <v>0</v>
      </c>
      <c r="K54" s="25"/>
      <c r="M54" s="3"/>
      <c r="N54" s="11"/>
      <c r="O54" s="12"/>
      <c r="P54" s="3"/>
    </row>
    <row r="55" spans="1:16">
      <c r="A55" s="7"/>
      <c r="B55" s="14">
        <f>SUM(B43:B54)</f>
        <v>0.99999999999999989</v>
      </c>
      <c r="C55" s="14">
        <f>SUM(C43:C54)</f>
        <v>0.71400000000000008</v>
      </c>
      <c r="D55" s="13"/>
      <c r="E55" s="13"/>
      <c r="F55" s="13"/>
      <c r="G55" s="13"/>
      <c r="H55" s="13"/>
      <c r="I55" s="13"/>
      <c r="J55" s="13"/>
      <c r="K55" s="13"/>
      <c r="L55" s="3"/>
      <c r="M55" s="3"/>
      <c r="N55" s="11"/>
      <c r="O55" s="12"/>
      <c r="P55" s="3"/>
    </row>
    <row r="56" spans="1:16">
      <c r="A56" s="15"/>
      <c r="D56" s="16"/>
      <c r="E56" s="15"/>
      <c r="F56" s="15"/>
      <c r="G56" s="15"/>
      <c r="H56" s="15"/>
      <c r="I56" s="15"/>
      <c r="J56" s="3"/>
      <c r="K56" s="3"/>
      <c r="L56" s="3"/>
      <c r="M56" s="3"/>
      <c r="N56" s="11"/>
      <c r="O56" s="12"/>
      <c r="P56" s="3"/>
    </row>
    <row r="57" spans="1:16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11"/>
      <c r="O57" s="12"/>
      <c r="P57" s="3"/>
    </row>
    <row r="58" spans="1:16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</row>
    <row r="59" spans="1:16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1:16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1:16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  <row r="62" spans="1:16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</row>
    <row r="63" spans="1:16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</row>
    <row r="64" spans="1:16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</row>
    <row r="65" spans="1:16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</row>
    <row r="66" spans="1:16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</row>
    <row r="67" spans="1:16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</row>
    <row r="68" spans="1:16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</row>
    <row r="69" spans="1:16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</row>
    <row r="70" spans="1:16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</row>
    <row r="71" spans="1:16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</row>
    <row r="72" spans="1:16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</row>
    <row r="73" spans="1:16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</row>
    <row r="74" spans="1:16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</row>
    <row r="75" spans="1:16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</row>
    <row r="76" spans="1:16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</row>
    <row r="77" spans="1:16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1:16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</row>
    <row r="79" spans="1:16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</row>
    <row r="80" spans="1:16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</row>
    <row r="81" spans="1:16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</row>
    <row r="82" spans="1:16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</row>
    <row r="83" spans="1:16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16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16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16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</row>
    <row r="87" spans="1:16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</row>
    <row r="88" spans="1:16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</row>
    <row r="89" spans="1:16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16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16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16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</row>
    <row r="93" spans="1:16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</row>
    <row r="94" spans="1:16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</row>
    <row r="95" spans="1:16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</row>
    <row r="96" spans="1:16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</row>
    <row r="97" spans="1:16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</row>
    <row r="98" spans="1:16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</row>
    <row r="99" spans="1:16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</row>
    <row r="100" spans="1:16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</row>
    <row r="101" spans="1:16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</row>
    <row r="102" spans="1:16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</row>
    <row r="103" spans="1:16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</row>
    <row r="104" spans="1:16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</row>
    <row r="105" spans="1:16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</row>
    <row r="106" spans="1:16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</row>
    <row r="107" spans="1:16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</row>
    <row r="108" spans="1:16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</row>
    <row r="109" spans="1:16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</row>
    <row r="110" spans="1:16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</row>
    <row r="111" spans="1:16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</row>
    <row r="112" spans="1:16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</row>
    <row r="113" spans="1:16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</row>
    <row r="114" spans="1:16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</row>
    <row r="115" spans="1:16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</row>
    <row r="116" spans="1:16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</row>
    <row r="117" spans="1:16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</row>
    <row r="118" spans="1:16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</row>
    <row r="119" spans="1:16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</row>
    <row r="120" spans="1:16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</row>
    <row r="121" spans="1:16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</row>
    <row r="122" spans="1:16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</row>
    <row r="123" spans="1:16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</row>
    <row r="124" spans="1:16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</row>
    <row r="125" spans="1:16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</row>
    <row r="126" spans="1:16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</row>
    <row r="127" spans="1:16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</row>
    <row r="128" spans="1:16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</row>
    <row r="129" spans="1:16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</row>
    <row r="130" spans="1:16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</row>
    <row r="131" spans="1:16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</row>
    <row r="132" spans="1:16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</row>
    <row r="133" spans="1:16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</row>
    <row r="134" spans="1:16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</row>
    <row r="135" spans="1:16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</row>
    <row r="136" spans="1:16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</row>
    <row r="137" spans="1:16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</row>
    <row r="138" spans="1:16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</row>
    <row r="139" spans="1:16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</row>
    <row r="140" spans="1:16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</row>
    <row r="141" spans="1:16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</row>
    <row r="142" spans="1:16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</row>
    <row r="143" spans="1:16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</row>
    <row r="144" spans="1:16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</row>
    <row r="145" spans="1:16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</row>
    <row r="146" spans="1:16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</row>
    <row r="147" spans="1:16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</row>
    <row r="148" spans="1:16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</row>
    <row r="149" spans="1:16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</row>
    <row r="150" spans="1:16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</row>
    <row r="151" spans="1:16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</row>
    <row r="152" spans="1:16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</row>
    <row r="153" spans="1:16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</row>
    <row r="154" spans="1:16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</row>
    <row r="155" spans="1:16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</row>
    <row r="156" spans="1:16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</row>
    <row r="157" spans="1:16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</row>
    <row r="158" spans="1:16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</row>
    <row r="159" spans="1:16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</row>
    <row r="160" spans="1:16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</row>
    <row r="161" spans="1:16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</row>
    <row r="162" spans="1:16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</row>
    <row r="163" spans="1:16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</row>
    <row r="164" spans="1:16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</row>
    <row r="165" spans="1:16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</row>
    <row r="166" spans="1:16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</row>
    <row r="167" spans="1:16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</row>
    <row r="168" spans="1:16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</row>
    <row r="169" spans="1:16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</row>
    <row r="170" spans="1:16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</row>
    <row r="171" spans="1:16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</row>
    <row r="172" spans="1:16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</row>
    <row r="173" spans="1:16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</row>
    <row r="174" spans="1:16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</row>
    <row r="175" spans="1:16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</row>
    <row r="176" spans="1:16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</row>
    <row r="177" spans="1:16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</row>
    <row r="178" spans="1:16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</row>
    <row r="179" spans="1:16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</row>
    <row r="180" spans="1:16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</row>
    <row r="181" spans="1:16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</row>
    <row r="182" spans="1:16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</row>
    <row r="183" spans="1:16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</row>
    <row r="184" spans="1:16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</row>
    <row r="185" spans="1:16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</row>
    <row r="186" spans="1:16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</row>
    <row r="187" spans="1:16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</row>
    <row r="188" spans="1:16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</row>
    <row r="189" spans="1:16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</row>
    <row r="190" spans="1:16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</row>
    <row r="191" spans="1:16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</row>
    <row r="192" spans="1:16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</row>
    <row r="193" spans="1:16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</row>
    <row r="194" spans="1:16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</row>
    <row r="195" spans="1:16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</row>
    <row r="196" spans="1:16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</row>
    <row r="197" spans="1:16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</row>
    <row r="198" spans="1:16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</row>
    <row r="199" spans="1:16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</row>
    <row r="200" spans="1:16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</row>
    <row r="201" spans="1:16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</row>
    <row r="202" spans="1:16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</row>
    <row r="203" spans="1:16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</row>
    <row r="204" spans="1:16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</row>
    <row r="205" spans="1:16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</row>
    <row r="206" spans="1:16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</row>
    <row r="207" spans="1:16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</row>
    <row r="208" spans="1:16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</row>
    <row r="209" spans="1:16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</row>
    <row r="210" spans="1:16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</row>
    <row r="211" spans="1:16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</row>
    <row r="212" spans="1:16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</row>
    <row r="213" spans="1:16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</row>
    <row r="214" spans="1:16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</row>
    <row r="215" spans="1:16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</row>
    <row r="216" spans="1:16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</row>
    <row r="217" spans="1:16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</row>
    <row r="218" spans="1:16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</row>
    <row r="219" spans="1:16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</row>
    <row r="220" spans="1:16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</row>
    <row r="221" spans="1:16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</row>
    <row r="222" spans="1:16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</row>
    <row r="223" spans="1:16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</row>
    <row r="224" spans="1:16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</row>
    <row r="225" spans="1:16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</row>
    <row r="226" spans="1:16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</row>
    <row r="227" spans="1:16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</row>
    <row r="228" spans="1:16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</row>
    <row r="229" spans="1:16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</row>
    <row r="230" spans="1:16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</row>
    <row r="231" spans="1:16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</row>
    <row r="232" spans="1:16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</row>
    <row r="233" spans="1:16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</row>
    <row r="234" spans="1:16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</row>
    <row r="235" spans="1:16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</row>
    <row r="236" spans="1:16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</row>
    <row r="237" spans="1:16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</row>
    <row r="238" spans="1:16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</row>
    <row r="239" spans="1:16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</row>
    <row r="240" spans="1:16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</row>
    <row r="241" spans="1:16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</row>
    <row r="242" spans="1:16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</row>
    <row r="243" spans="1:16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</row>
    <row r="244" spans="1:16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</row>
    <row r="245" spans="1:16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</row>
    <row r="246" spans="1:16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</row>
    <row r="247" spans="1:16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</row>
    <row r="248" spans="1:16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</row>
    <row r="249" spans="1:16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</row>
    <row r="250" spans="1:16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</row>
    <row r="251" spans="1:16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</row>
    <row r="252" spans="1:16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</row>
    <row r="253" spans="1:16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</row>
    <row r="254" spans="1:16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</row>
    <row r="255" spans="1:16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</row>
    <row r="256" spans="1:16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</row>
    <row r="257" spans="1:16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</row>
    <row r="258" spans="1:16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</row>
    <row r="259" spans="1:16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</row>
    <row r="260" spans="1:16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</row>
    <row r="261" spans="1:16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</row>
    <row r="262" spans="1:16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</row>
    <row r="263" spans="1:16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</row>
    <row r="264" spans="1:16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</row>
    <row r="265" spans="1:16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</row>
    <row r="266" spans="1:16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</row>
    <row r="267" spans="1:16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</row>
    <row r="268" spans="1:16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</row>
    <row r="269" spans="1:16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</row>
    <row r="270" spans="1:16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</row>
    <row r="271" spans="1:16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</row>
    <row r="272" spans="1:16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</row>
    <row r="273" spans="1:16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</row>
    <row r="274" spans="1:16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</row>
    <row r="275" spans="1:16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</row>
    <row r="276" spans="1:16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</row>
    <row r="277" spans="1:16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</row>
    <row r="278" spans="1:16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</row>
    <row r="279" spans="1:16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</row>
    <row r="280" spans="1:16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</row>
    <row r="281" spans="1:16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</row>
    <row r="282" spans="1:16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</row>
    <row r="283" spans="1:16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</row>
    <row r="284" spans="1:16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</row>
    <row r="285" spans="1:16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</row>
    <row r="286" spans="1:16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</row>
    <row r="287" spans="1:16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</row>
    <row r="288" spans="1:16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</row>
    <row r="289" spans="1:16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</row>
    <row r="290" spans="1:16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</row>
    <row r="291" spans="1:16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</row>
    <row r="292" spans="1:16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</row>
    <row r="293" spans="1:16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</row>
    <row r="294" spans="1:16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</row>
    <row r="295" spans="1:16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</row>
    <row r="296" spans="1:16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</row>
    <row r="297" spans="1:16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</row>
    <row r="298" spans="1:16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</row>
    <row r="299" spans="1:16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</row>
    <row r="300" spans="1:16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</row>
    <row r="301" spans="1:16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</row>
    <row r="302" spans="1:16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</row>
    <row r="303" spans="1:16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</row>
    <row r="304" spans="1:16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</row>
    <row r="305" spans="1:16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</row>
    <row r="306" spans="1:16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</row>
    <row r="307" spans="1:16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</row>
    <row r="308" spans="1:16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</row>
    <row r="309" spans="1:16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</row>
    <row r="310" spans="1:16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</row>
    <row r="311" spans="1:16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</row>
    <row r="312" spans="1:16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</row>
    <row r="313" spans="1:16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</row>
    <row r="314" spans="1:16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</row>
    <row r="315" spans="1:16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</row>
    <row r="316" spans="1:16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</row>
    <row r="317" spans="1:16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</row>
    <row r="318" spans="1:16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</row>
    <row r="319" spans="1:16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</row>
    <row r="320" spans="1:16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</row>
    <row r="321" spans="1:16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</row>
    <row r="322" spans="1:16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</row>
    <row r="323" spans="1:16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</row>
    <row r="324" spans="1:16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</row>
    <row r="325" spans="1:16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</row>
    <row r="326" spans="1:16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</row>
    <row r="327" spans="1:16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</row>
    <row r="328" spans="1:16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</row>
    <row r="329" spans="1:16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</row>
    <row r="330" spans="1:16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</row>
    <row r="331" spans="1:16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</row>
    <row r="332" spans="1:16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</row>
    <row r="333" spans="1:16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</row>
    <row r="334" spans="1:16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</row>
    <row r="335" spans="1:16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</row>
    <row r="336" spans="1:16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</row>
    <row r="337" spans="1:16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</row>
    <row r="338" spans="1:16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</row>
    <row r="339" spans="1:16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</row>
    <row r="340" spans="1:16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</row>
    <row r="341" spans="1:16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</row>
    <row r="342" spans="1:16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</row>
    <row r="343" spans="1:16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</row>
    <row r="344" spans="1:16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</row>
    <row r="345" spans="1:16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</row>
    <row r="346" spans="1:16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</row>
    <row r="347" spans="1:16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</row>
    <row r="348" spans="1:16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</row>
    <row r="349" spans="1:16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</row>
    <row r="350" spans="1:16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</row>
    <row r="351" spans="1:16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</row>
    <row r="352" spans="1:16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</row>
    <row r="353" spans="1:16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</row>
    <row r="354" spans="1:16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</row>
    <row r="355" spans="1:16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</row>
    <row r="356" spans="1:16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</row>
    <row r="357" spans="1:16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</row>
    <row r="358" spans="1:16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</row>
    <row r="359" spans="1:16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</row>
    <row r="360" spans="1:16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</row>
    <row r="361" spans="1:16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16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</row>
    <row r="363" spans="1:16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</row>
    <row r="364" spans="1:16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</row>
    <row r="365" spans="1:16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</row>
    <row r="366" spans="1:16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</row>
    <row r="367" spans="1:16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</row>
    <row r="368" spans="1:16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</row>
    <row r="369" spans="1:16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</row>
    <row r="370" spans="1:16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</row>
    <row r="371" spans="1:16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</row>
    <row r="372" spans="1:16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</row>
    <row r="373" spans="1:16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</row>
    <row r="374" spans="1:16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</row>
    <row r="375" spans="1:16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</row>
    <row r="376" spans="1:16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</row>
    <row r="377" spans="1:16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</row>
    <row r="378" spans="1:16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</row>
    <row r="379" spans="1:16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</row>
    <row r="380" spans="1:16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</row>
    <row r="381" spans="1:16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</row>
    <row r="382" spans="1:16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</row>
    <row r="383" spans="1:16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</row>
    <row r="384" spans="1:16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</row>
    <row r="385" spans="1:16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</row>
    <row r="386" spans="1:16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</row>
    <row r="387" spans="1:16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</row>
    <row r="388" spans="1:16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</row>
    <row r="389" spans="1:16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</row>
    <row r="390" spans="1:16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</row>
    <row r="391" spans="1:16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</row>
    <row r="392" spans="1:16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</row>
    <row r="393" spans="1:16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</row>
    <row r="394" spans="1:16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</row>
    <row r="395" spans="1:16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</row>
    <row r="396" spans="1:16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</row>
    <row r="397" spans="1:16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</row>
    <row r="398" spans="1:16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</row>
    <row r="399" spans="1:16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</row>
    <row r="400" spans="1:16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</row>
    <row r="401" spans="1:16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</row>
    <row r="402" spans="1:16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</row>
    <row r="403" spans="1:16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</row>
    <row r="404" spans="1:16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</row>
    <row r="405" spans="1:16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</row>
    <row r="406" spans="1:16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</row>
    <row r="407" spans="1:16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</row>
    <row r="408" spans="1:16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</row>
    <row r="409" spans="1:16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</row>
    <row r="410" spans="1:16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</row>
    <row r="411" spans="1:16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</row>
    <row r="412" spans="1:16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</row>
    <row r="413" spans="1:16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</row>
    <row r="414" spans="1:16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</row>
    <row r="415" spans="1:16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</row>
    <row r="416" spans="1:16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</row>
    <row r="417" spans="1:16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</row>
    <row r="418" spans="1:16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</row>
    <row r="419" spans="1:16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</row>
    <row r="420" spans="1:16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</row>
    <row r="421" spans="1:16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</row>
    <row r="422" spans="1:16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</row>
    <row r="423" spans="1:16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</row>
    <row r="424" spans="1:16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</row>
    <row r="425" spans="1:16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</row>
    <row r="426" spans="1:16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</row>
    <row r="427" spans="1:16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</row>
    <row r="428" spans="1:16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</row>
    <row r="429" spans="1:16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</row>
    <row r="430" spans="1:16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</row>
    <row r="431" spans="1:16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</row>
    <row r="432" spans="1:16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</row>
    <row r="433" spans="1:16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</row>
    <row r="434" spans="1:16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</row>
    <row r="435" spans="1:16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</row>
    <row r="436" spans="1:16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</row>
    <row r="437" spans="1:16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</row>
    <row r="438" spans="1:16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</row>
    <row r="439" spans="1:16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</row>
    <row r="440" spans="1:16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</row>
    <row r="441" spans="1:16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</row>
    <row r="442" spans="1:16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</row>
    <row r="443" spans="1:16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</row>
    <row r="444" spans="1:16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</row>
    <row r="445" spans="1:16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</row>
    <row r="446" spans="1:16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</row>
    <row r="447" spans="1:16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</row>
    <row r="448" spans="1:16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</row>
    <row r="449" spans="1:16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</row>
    <row r="450" spans="1:16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</row>
    <row r="451" spans="1:16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</row>
    <row r="452" spans="1:16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</row>
    <row r="453" spans="1:16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</row>
    <row r="454" spans="1:16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</row>
    <row r="455" spans="1:16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</row>
    <row r="456" spans="1:16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</row>
    <row r="457" spans="1:16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</row>
    <row r="458" spans="1:16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</row>
    <row r="459" spans="1:16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</row>
    <row r="460" spans="1:16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</row>
    <row r="461" spans="1:16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</row>
    <row r="462" spans="1:16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</row>
    <row r="463" spans="1:16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</row>
    <row r="464" spans="1:16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</row>
    <row r="465" spans="1:16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</row>
    <row r="466" spans="1:16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</row>
    <row r="467" spans="1:16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</row>
    <row r="468" spans="1:16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</row>
    <row r="469" spans="1:16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</row>
    <row r="470" spans="1:16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</row>
    <row r="471" spans="1:16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</row>
    <row r="472" spans="1:16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</row>
    <row r="473" spans="1:16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</row>
    <row r="474" spans="1:16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</row>
    <row r="475" spans="1:16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</row>
    <row r="476" spans="1:16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</row>
    <row r="477" spans="1:16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</row>
    <row r="478" spans="1:16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</row>
    <row r="479" spans="1:16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</row>
    <row r="480" spans="1:16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</row>
    <row r="481" spans="1:16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</row>
    <row r="482" spans="1:16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</row>
    <row r="483" spans="1:16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</row>
    <row r="484" spans="1:16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</row>
    <row r="485" spans="1:16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</row>
    <row r="486" spans="1:16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</row>
    <row r="487" spans="1:16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</row>
    <row r="488" spans="1:16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</row>
    <row r="489" spans="1:16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</row>
    <row r="490" spans="1:16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</row>
    <row r="491" spans="1:16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</row>
    <row r="492" spans="1:16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</row>
    <row r="493" spans="1:16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</row>
    <row r="494" spans="1:16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</row>
    <row r="495" spans="1:16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</row>
    <row r="496" spans="1:16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</row>
    <row r="497" spans="1:16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</row>
    <row r="498" spans="1:16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</row>
    <row r="499" spans="1:16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</row>
    <row r="500" spans="1:16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</row>
    <row r="501" spans="1:16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</row>
    <row r="502" spans="1:16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</row>
    <row r="503" spans="1:16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</row>
    <row r="504" spans="1:16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</row>
    <row r="505" spans="1:16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</row>
    <row r="506" spans="1:16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</row>
    <row r="507" spans="1:16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</row>
    <row r="508" spans="1:16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</row>
    <row r="509" spans="1:16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</row>
    <row r="510" spans="1:16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</row>
    <row r="511" spans="1:16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</row>
    <row r="512" spans="1:16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</row>
    <row r="513" spans="1:16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</row>
    <row r="514" spans="1:16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</row>
    <row r="515" spans="1:16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</row>
    <row r="516" spans="1:16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</row>
    <row r="517" spans="1:16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</row>
    <row r="518" spans="1:16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</row>
    <row r="519" spans="1:16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</row>
    <row r="520" spans="1:16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</row>
    <row r="521" spans="1:16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</row>
    <row r="522" spans="1:16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</row>
    <row r="523" spans="1:16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</row>
    <row r="524" spans="1:16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</row>
    <row r="525" spans="1:16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</row>
    <row r="526" spans="1:16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</row>
    <row r="527" spans="1:16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</row>
    <row r="528" spans="1:16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</row>
    <row r="529" spans="1:16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</row>
    <row r="530" spans="1:16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</row>
    <row r="531" spans="1:16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</row>
    <row r="532" spans="1:16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</row>
    <row r="533" spans="1:16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</row>
    <row r="534" spans="1:16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</row>
    <row r="535" spans="1:16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</row>
    <row r="536" spans="1:16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</row>
    <row r="537" spans="1:16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</row>
    <row r="538" spans="1:16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</row>
    <row r="539" spans="1:16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</row>
    <row r="540" spans="1:16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</row>
    <row r="541" spans="1:16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</row>
    <row r="542" spans="1:16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</row>
    <row r="543" spans="1:16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</row>
    <row r="544" spans="1:16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</row>
    <row r="545" spans="1:16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</row>
    <row r="546" spans="1:16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</row>
    <row r="547" spans="1:16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</row>
    <row r="548" spans="1:16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</row>
    <row r="549" spans="1:16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</row>
    <row r="550" spans="1:16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</row>
    <row r="551" spans="1:16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</row>
    <row r="552" spans="1:16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</row>
    <row r="553" spans="1:16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</row>
    <row r="554" spans="1:16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</row>
    <row r="555" spans="1:16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</row>
    <row r="556" spans="1:16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</row>
    <row r="557" spans="1:16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</row>
    <row r="558" spans="1:16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</row>
    <row r="559" spans="1:16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</row>
    <row r="560" spans="1:16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</row>
    <row r="561" spans="1:16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</row>
    <row r="562" spans="1:16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</row>
    <row r="563" spans="1:16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</row>
    <row r="564" spans="1:16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</row>
    <row r="565" spans="1:16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</row>
    <row r="566" spans="1:16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</row>
    <row r="567" spans="1:16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</row>
    <row r="568" spans="1:16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</row>
    <row r="569" spans="1:16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</row>
    <row r="570" spans="1:16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</row>
    <row r="571" spans="1:16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</row>
    <row r="572" spans="1:16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</row>
    <row r="573" spans="1:16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</row>
    <row r="574" spans="1:16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</row>
    <row r="575" spans="1:16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</row>
    <row r="576" spans="1:16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</row>
    <row r="577" spans="1:16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</row>
    <row r="578" spans="1:16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</row>
    <row r="579" spans="1:16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</row>
    <row r="580" spans="1:16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</row>
    <row r="581" spans="1:16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</row>
    <row r="582" spans="1:16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</row>
    <row r="583" spans="1:16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</row>
    <row r="584" spans="1:16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</row>
    <row r="585" spans="1:16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</row>
    <row r="586" spans="1:16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</row>
    <row r="587" spans="1:16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</row>
    <row r="588" spans="1:16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</row>
    <row r="589" spans="1:16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</row>
    <row r="590" spans="1:16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</row>
    <row r="591" spans="1:16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</row>
    <row r="592" spans="1:16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</row>
    <row r="593" spans="1:16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</row>
    <row r="594" spans="1:16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</row>
    <row r="595" spans="1:16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</row>
    <row r="596" spans="1:16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</row>
    <row r="597" spans="1:16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</row>
    <row r="598" spans="1:16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</row>
    <row r="599" spans="1:16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</row>
    <row r="600" spans="1:16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</row>
    <row r="601" spans="1:16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</row>
    <row r="602" spans="1:16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</row>
    <row r="603" spans="1:16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</row>
    <row r="604" spans="1:16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</row>
    <row r="605" spans="1:16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</row>
    <row r="606" spans="1:16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</row>
    <row r="607" spans="1:16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</row>
    <row r="608" spans="1:16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</row>
    <row r="609" spans="1:16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</row>
    <row r="610" spans="1:16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</row>
    <row r="611" spans="1:16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</row>
    <row r="612" spans="1:16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</row>
    <row r="613" spans="1:16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</row>
    <row r="614" spans="1:16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</row>
    <row r="615" spans="1:16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</row>
    <row r="616" spans="1:16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</row>
    <row r="617" spans="1:16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</row>
    <row r="618" spans="1:16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</row>
    <row r="619" spans="1:16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</row>
    <row r="620" spans="1:16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</row>
    <row r="621" spans="1:16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</row>
    <row r="622" spans="1:16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</row>
    <row r="623" spans="1:16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</row>
    <row r="624" spans="1:16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</row>
    <row r="625" spans="1:16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</row>
    <row r="626" spans="1:16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</row>
    <row r="627" spans="1:16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</row>
    <row r="628" spans="1:16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</row>
    <row r="629" spans="1:16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</row>
    <row r="630" spans="1:16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</row>
    <row r="631" spans="1:16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</row>
    <row r="632" spans="1:16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</row>
    <row r="633" spans="1:16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</row>
    <row r="634" spans="1:16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</row>
    <row r="635" spans="1:16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</row>
    <row r="636" spans="1:16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</row>
    <row r="637" spans="1:16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</row>
    <row r="638" spans="1:16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</row>
    <row r="639" spans="1:16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</row>
    <row r="640" spans="1:16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</row>
    <row r="641" spans="1:16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</row>
    <row r="642" spans="1:16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</row>
    <row r="643" spans="1:16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</row>
    <row r="644" spans="1:16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</row>
    <row r="645" spans="1:16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</row>
    <row r="646" spans="1:16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</row>
    <row r="647" spans="1:16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</row>
    <row r="648" spans="1:16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</row>
    <row r="649" spans="1:16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</row>
    <row r="650" spans="1:16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</row>
    <row r="651" spans="1:16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</row>
    <row r="652" spans="1:16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</row>
    <row r="653" spans="1:16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</row>
    <row r="654" spans="1:16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</row>
    <row r="655" spans="1:16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</row>
    <row r="656" spans="1:16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</row>
    <row r="657" spans="1:16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</row>
    <row r="658" spans="1:16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</row>
    <row r="659" spans="1:16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</row>
    <row r="660" spans="1:16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</row>
    <row r="661" spans="1:16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</row>
    <row r="662" spans="1:16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</row>
    <row r="663" spans="1:16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</row>
    <row r="664" spans="1:16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</row>
    <row r="665" spans="1:16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</row>
    <row r="666" spans="1:16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</row>
    <row r="667" spans="1:16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</row>
    <row r="668" spans="1:16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</row>
    <row r="669" spans="1:16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</row>
    <row r="670" spans="1:16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</row>
    <row r="671" spans="1:16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</row>
    <row r="672" spans="1:16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</row>
    <row r="673" spans="1:16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</row>
    <row r="674" spans="1:16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</row>
    <row r="675" spans="1:16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</row>
    <row r="676" spans="1:16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</row>
    <row r="677" spans="1:16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</row>
    <row r="678" spans="1:16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</row>
    <row r="679" spans="1:16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</row>
    <row r="680" spans="1:16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</row>
    <row r="681" spans="1:16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</row>
    <row r="682" spans="1:16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</row>
    <row r="683" spans="1:16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</row>
    <row r="684" spans="1:16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</row>
    <row r="685" spans="1:16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</row>
    <row r="686" spans="1:16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</row>
    <row r="687" spans="1:16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</row>
    <row r="688" spans="1:16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</row>
    <row r="689" spans="1:16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</row>
    <row r="690" spans="1:16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</row>
    <row r="691" spans="1:16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</row>
    <row r="692" spans="1:16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</row>
    <row r="693" spans="1:16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</row>
    <row r="694" spans="1:16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</row>
    <row r="695" spans="1:16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</row>
    <row r="696" spans="1:16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</row>
    <row r="697" spans="1:16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</row>
    <row r="698" spans="1:16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</row>
    <row r="699" spans="1:16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</row>
    <row r="700" spans="1:16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</row>
    <row r="701" spans="1:16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</row>
    <row r="702" spans="1:16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</row>
    <row r="703" spans="1:16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</row>
    <row r="704" spans="1:16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</row>
    <row r="705" spans="1:16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</row>
    <row r="706" spans="1:16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</row>
    <row r="707" spans="1:16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</row>
    <row r="708" spans="1:16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</row>
    <row r="709" spans="1:16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</row>
    <row r="710" spans="1:16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</row>
    <row r="711" spans="1:16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</row>
    <row r="712" spans="1:16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</row>
    <row r="713" spans="1:16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</row>
    <row r="714" spans="1:16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</row>
    <row r="715" spans="1:16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</row>
    <row r="716" spans="1:16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</row>
    <row r="717" spans="1:16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</row>
    <row r="718" spans="1:16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</row>
    <row r="719" spans="1:16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</row>
    <row r="720" spans="1:16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</row>
    <row r="721" spans="1:16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</row>
    <row r="722" spans="1:16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</row>
    <row r="723" spans="1:16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</row>
    <row r="724" spans="1:16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</row>
    <row r="725" spans="1:16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</row>
    <row r="726" spans="1:16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</row>
    <row r="727" spans="1:16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</row>
    <row r="728" spans="1:16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</row>
    <row r="729" spans="1:16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</row>
    <row r="730" spans="1:16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</row>
    <row r="731" spans="1:16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</row>
    <row r="732" spans="1:16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</row>
    <row r="733" spans="1:16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</row>
    <row r="734" spans="1:16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</row>
    <row r="735" spans="1:16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</row>
    <row r="736" spans="1:16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</row>
    <row r="737" spans="1:16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</row>
    <row r="738" spans="1:16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</row>
    <row r="739" spans="1:16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</row>
    <row r="740" spans="1:16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</row>
    <row r="741" spans="1:16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</row>
    <row r="742" spans="1:16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</row>
    <row r="743" spans="1:16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</row>
    <row r="744" spans="1:16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</row>
    <row r="745" spans="1:16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</row>
    <row r="746" spans="1:16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</row>
    <row r="747" spans="1:16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</row>
    <row r="748" spans="1:16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</row>
    <row r="749" spans="1:16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</row>
    <row r="750" spans="1:16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</row>
    <row r="751" spans="1:16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</row>
    <row r="752" spans="1:16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</row>
    <row r="753" spans="1:16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</row>
    <row r="754" spans="1:16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</row>
    <row r="755" spans="1:16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</row>
    <row r="756" spans="1:16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</row>
    <row r="757" spans="1:16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</row>
    <row r="758" spans="1:16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</row>
    <row r="759" spans="1:16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</row>
    <row r="760" spans="1:16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</row>
    <row r="761" spans="1:16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</row>
    <row r="762" spans="1:16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</row>
    <row r="763" spans="1:16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</row>
    <row r="764" spans="1:16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</row>
    <row r="765" spans="1:16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</row>
    <row r="766" spans="1:16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</row>
    <row r="767" spans="1:16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</row>
    <row r="768" spans="1:16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</row>
    <row r="769" spans="1:16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</row>
    <row r="770" spans="1:16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</row>
    <row r="771" spans="1:16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</row>
    <row r="772" spans="1:16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</row>
    <row r="773" spans="1:16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</row>
    <row r="774" spans="1:16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</row>
    <row r="775" spans="1:16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</row>
    <row r="776" spans="1:16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</row>
    <row r="777" spans="1:16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</row>
    <row r="778" spans="1:16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</row>
    <row r="779" spans="1:16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</row>
    <row r="780" spans="1:16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</row>
    <row r="781" spans="1:16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</row>
    <row r="782" spans="1:16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</row>
    <row r="783" spans="1:16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</row>
    <row r="784" spans="1:16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</row>
    <row r="785" spans="1:16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</row>
    <row r="786" spans="1:16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</row>
    <row r="787" spans="1:16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</row>
    <row r="788" spans="1:16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</row>
    <row r="789" spans="1:16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</row>
    <row r="790" spans="1:16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</row>
    <row r="791" spans="1:16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</row>
    <row r="792" spans="1:16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</row>
    <row r="793" spans="1:16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</row>
    <row r="794" spans="1:16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</row>
    <row r="795" spans="1:16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</row>
    <row r="796" spans="1:16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</row>
    <row r="797" spans="1:16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</row>
    <row r="798" spans="1:16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</row>
    <row r="799" spans="1:16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</row>
    <row r="800" spans="1:16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</row>
    <row r="801" spans="1:16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</row>
    <row r="802" spans="1:16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</row>
    <row r="803" spans="1:16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</row>
    <row r="804" spans="1:16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</row>
    <row r="805" spans="1:16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</row>
    <row r="806" spans="1:16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</row>
    <row r="807" spans="1:16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</row>
    <row r="808" spans="1:16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</row>
    <row r="809" spans="1:16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</row>
    <row r="810" spans="1:16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</row>
    <row r="811" spans="1:16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</row>
    <row r="812" spans="1:16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</row>
    <row r="813" spans="1:16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</row>
    <row r="814" spans="1:16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</row>
    <row r="815" spans="1:16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</row>
    <row r="816" spans="1:16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</row>
    <row r="817" spans="1:16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</row>
    <row r="818" spans="1:16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</row>
    <row r="819" spans="1:16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</row>
    <row r="820" spans="1:16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</row>
    <row r="821" spans="1:16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</row>
    <row r="822" spans="1:16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</row>
    <row r="823" spans="1:16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</row>
    <row r="824" spans="1:16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</row>
    <row r="825" spans="1:16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</row>
    <row r="826" spans="1:16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</row>
    <row r="827" spans="1:16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</row>
    <row r="828" spans="1:16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</row>
    <row r="829" spans="1:16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</row>
    <row r="830" spans="1:16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</row>
    <row r="831" spans="1:16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</row>
    <row r="832" spans="1:16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</row>
    <row r="833" spans="1:16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</row>
    <row r="834" spans="1:16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</row>
    <row r="835" spans="1:16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</row>
    <row r="836" spans="1:16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</row>
    <row r="837" spans="1:16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</row>
    <row r="838" spans="1:16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</row>
    <row r="839" spans="1:16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</row>
    <row r="840" spans="1:16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</row>
    <row r="841" spans="1:16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</row>
    <row r="842" spans="1:16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</row>
    <row r="843" spans="1:16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</row>
    <row r="844" spans="1:16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</row>
    <row r="845" spans="1:16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</row>
    <row r="846" spans="1:16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</row>
    <row r="847" spans="1:16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</row>
    <row r="848" spans="1:16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</row>
    <row r="849" spans="1:16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</row>
    <row r="850" spans="1:16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</row>
    <row r="851" spans="1:16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</row>
    <row r="852" spans="1:16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</row>
    <row r="853" spans="1:16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</row>
    <row r="854" spans="1:16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</row>
    <row r="855" spans="1:16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</row>
    <row r="856" spans="1:16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</row>
    <row r="857" spans="1:16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</row>
    <row r="858" spans="1:16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</row>
    <row r="859" spans="1:16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</row>
    <row r="860" spans="1:16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</row>
    <row r="861" spans="1:16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</row>
    <row r="862" spans="1:16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</row>
    <row r="863" spans="1:16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</row>
    <row r="864" spans="1:16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</row>
    <row r="865" spans="1:16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</row>
    <row r="866" spans="1:16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</row>
    <row r="867" spans="1:16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</row>
    <row r="868" spans="1:16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</row>
    <row r="869" spans="1:16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</row>
    <row r="870" spans="1:16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</row>
    <row r="871" spans="1:16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</row>
    <row r="872" spans="1:16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</row>
    <row r="873" spans="1:16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</row>
    <row r="874" spans="1:16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</row>
    <row r="875" spans="1:16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</row>
    <row r="876" spans="1:16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</row>
    <row r="877" spans="1:16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</row>
    <row r="878" spans="1:16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</row>
    <row r="879" spans="1:16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</row>
    <row r="880" spans="1:16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</row>
    <row r="881" spans="1:16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</row>
    <row r="882" spans="1:16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</row>
    <row r="883" spans="1:16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</row>
    <row r="884" spans="1:16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</row>
    <row r="885" spans="1:16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</row>
    <row r="886" spans="1:16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</row>
    <row r="887" spans="1:16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</row>
    <row r="888" spans="1:16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</row>
    <row r="889" spans="1:16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</row>
    <row r="890" spans="1:16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</row>
    <row r="891" spans="1:16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</row>
    <row r="892" spans="1:16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</row>
    <row r="893" spans="1:16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</row>
    <row r="894" spans="1:16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</row>
    <row r="895" spans="1:16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</row>
    <row r="896" spans="1:16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</row>
    <row r="897" spans="1:16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</row>
    <row r="898" spans="1:16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</row>
    <row r="899" spans="1:16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</row>
    <row r="900" spans="1:16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</row>
    <row r="901" spans="1:16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</row>
    <row r="902" spans="1:16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</row>
    <row r="903" spans="1:16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</row>
    <row r="904" spans="1:16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</row>
    <row r="905" spans="1:16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</row>
    <row r="906" spans="1:16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</row>
    <row r="907" spans="1:16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</row>
    <row r="908" spans="1:16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</row>
    <row r="909" spans="1:16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</row>
    <row r="910" spans="1:16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</row>
    <row r="911" spans="1:16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</row>
    <row r="912" spans="1:16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</row>
    <row r="913" spans="1:16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</row>
    <row r="914" spans="1:16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</row>
    <row r="915" spans="1:16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</row>
    <row r="916" spans="1:16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</row>
    <row r="917" spans="1:16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</row>
    <row r="918" spans="1:16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</row>
    <row r="919" spans="1:16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</row>
    <row r="920" spans="1:16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</row>
    <row r="921" spans="1:16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</row>
    <row r="922" spans="1:16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</row>
    <row r="923" spans="1:16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</row>
    <row r="924" spans="1:16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</row>
    <row r="925" spans="1:16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</row>
    <row r="926" spans="1:16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</row>
    <row r="927" spans="1:16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</row>
    <row r="928" spans="1:16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</row>
    <row r="929" spans="1:16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</row>
    <row r="930" spans="1:16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</row>
    <row r="931" spans="1:16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</row>
    <row r="932" spans="1:16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</row>
    <row r="933" spans="1:16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</row>
    <row r="934" spans="1:16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</row>
    <row r="935" spans="1:16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</row>
    <row r="936" spans="1:16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</row>
    <row r="937" spans="1:16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</row>
    <row r="938" spans="1:16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</row>
    <row r="939" spans="1:16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</row>
    <row r="940" spans="1:16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</row>
    <row r="941" spans="1:16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</row>
    <row r="942" spans="1:16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</row>
    <row r="943" spans="1:16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</row>
    <row r="944" spans="1:16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</row>
    <row r="945" spans="1:16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</row>
    <row r="946" spans="1:16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</row>
    <row r="947" spans="1:16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</row>
    <row r="948" spans="1:16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</row>
    <row r="949" spans="1:16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</row>
    <row r="950" spans="1:16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</row>
    <row r="951" spans="1:16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</row>
    <row r="952" spans="1:16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</row>
    <row r="953" spans="1:16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</row>
    <row r="954" spans="1:16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</row>
    <row r="955" spans="1:16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</row>
    <row r="956" spans="1:16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</row>
    <row r="957" spans="1:16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</row>
    <row r="958" spans="1:16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</row>
    <row r="959" spans="1:16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</row>
  </sheetData>
  <sortState ref="L4:M40">
    <sortCondition descending="1" ref="M4"/>
  </sortState>
  <dataConsolidate/>
  <mergeCells count="2">
    <mergeCell ref="A41:J41"/>
    <mergeCell ref="A2:I2"/>
  </mergeCells>
  <pageMargins left="0.69930555555555596" right="0.69930555555555596" top="0.75" bottom="0.75" header="0.3" footer="0.3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37"/>
  <sheetViews>
    <sheetView topLeftCell="A16" workbookViewId="0">
      <selection activeCell="A2" sqref="A2:C37"/>
    </sheetView>
  </sheetViews>
  <sheetFormatPr defaultColWidth="18.26953125" defaultRowHeight="14.5"/>
  <cols>
    <col min="1" max="1" width="17.81640625" bestFit="1" customWidth="1"/>
    <col min="2" max="2" width="11.7265625" bestFit="1" customWidth="1"/>
    <col min="3" max="3" width="11.54296875" bestFit="1" customWidth="1"/>
  </cols>
  <sheetData>
    <row r="1" spans="1:3" ht="26.5" thickBot="1">
      <c r="A1" s="1" t="s">
        <v>2</v>
      </c>
      <c r="B1" s="1" t="s">
        <v>0</v>
      </c>
      <c r="C1" s="1" t="s">
        <v>1</v>
      </c>
    </row>
    <row r="2" spans="1:3">
      <c r="A2" s="23" t="s">
        <v>55</v>
      </c>
      <c r="B2" s="24">
        <v>0.1897773109243697</v>
      </c>
      <c r="C2" s="24">
        <f>B2</f>
        <v>0.1897773109243697</v>
      </c>
    </row>
    <row r="3" spans="1:3">
      <c r="A3" s="23" t="s">
        <v>38</v>
      </c>
      <c r="B3" s="24">
        <v>0.184</v>
      </c>
      <c r="C3" s="24">
        <f>B3+C2</f>
        <v>0.37377731092436972</v>
      </c>
    </row>
    <row r="4" spans="1:3">
      <c r="A4" s="24" t="s">
        <v>45</v>
      </c>
      <c r="B4" s="24">
        <v>0.11300840336134453</v>
      </c>
      <c r="C4" s="24">
        <f t="shared" ref="C4:C37" si="0">B4+C3</f>
        <v>0.48678571428571427</v>
      </c>
    </row>
    <row r="5" spans="1:3">
      <c r="A5" s="24" t="s">
        <v>49</v>
      </c>
      <c r="B5" s="24">
        <v>0.10875910364145658</v>
      </c>
      <c r="C5" s="24">
        <f t="shared" si="0"/>
        <v>0.59554481792717084</v>
      </c>
    </row>
    <row r="6" spans="1:3">
      <c r="A6" s="24" t="s">
        <v>39</v>
      </c>
      <c r="B6" s="24">
        <v>8.4901960784313724E-2</v>
      </c>
      <c r="C6" s="24">
        <f t="shared" si="0"/>
        <v>0.68044677871148451</v>
      </c>
    </row>
    <row r="7" spans="1:3">
      <c r="A7" s="24" t="s">
        <v>47</v>
      </c>
      <c r="B7" s="24">
        <v>7.0714285714285702E-2</v>
      </c>
      <c r="C7" s="24">
        <f t="shared" si="0"/>
        <v>0.75116106442577024</v>
      </c>
    </row>
    <row r="8" spans="1:3">
      <c r="A8" s="24" t="s">
        <v>52</v>
      </c>
      <c r="B8" s="24">
        <v>5.4789915966386549E-2</v>
      </c>
      <c r="C8" s="24">
        <f t="shared" si="0"/>
        <v>0.80595098039215674</v>
      </c>
    </row>
    <row r="9" spans="1:3">
      <c r="A9" s="24" t="s">
        <v>48</v>
      </c>
      <c r="B9" s="24">
        <v>5.0939775910364138E-2</v>
      </c>
      <c r="C9" s="24">
        <f t="shared" si="0"/>
        <v>0.85689075630252087</v>
      </c>
    </row>
    <row r="10" spans="1:3">
      <c r="A10" s="24" t="s">
        <v>44</v>
      </c>
      <c r="B10" s="24">
        <v>4.1724089635854333E-2</v>
      </c>
      <c r="C10" s="24">
        <f t="shared" si="0"/>
        <v>0.89861484593837515</v>
      </c>
    </row>
    <row r="11" spans="1:3">
      <c r="A11" s="24" t="s">
        <v>46</v>
      </c>
      <c r="B11" s="24">
        <v>2.705882352941176E-2</v>
      </c>
      <c r="C11" s="24">
        <f t="shared" si="0"/>
        <v>0.92567366946778695</v>
      </c>
    </row>
    <row r="12" spans="1:3">
      <c r="A12" s="24" t="s">
        <v>26</v>
      </c>
      <c r="B12" s="24">
        <v>1.9243697478991597E-2</v>
      </c>
      <c r="C12" s="24">
        <f t="shared" si="0"/>
        <v>0.94491736694677853</v>
      </c>
    </row>
    <row r="13" spans="1:3">
      <c r="A13" s="24" t="s">
        <v>21</v>
      </c>
      <c r="B13" s="24">
        <v>1.1666666666666665E-2</v>
      </c>
      <c r="C13" s="24">
        <f t="shared" si="0"/>
        <v>0.95658403361344524</v>
      </c>
    </row>
    <row r="14" spans="1:3">
      <c r="A14" s="24" t="s">
        <v>35</v>
      </c>
      <c r="B14" s="24">
        <v>6.7857142857142847E-3</v>
      </c>
      <c r="C14" s="24">
        <f t="shared" si="0"/>
        <v>0.96336974789915952</v>
      </c>
    </row>
    <row r="15" spans="1:3">
      <c r="A15" s="24" t="s">
        <v>22</v>
      </c>
      <c r="B15" s="24">
        <v>6.7142857142857134E-3</v>
      </c>
      <c r="C15" s="24">
        <f t="shared" si="0"/>
        <v>0.9700840336134452</v>
      </c>
    </row>
    <row r="16" spans="1:3">
      <c r="A16" s="24" t="s">
        <v>58</v>
      </c>
      <c r="B16" s="24">
        <v>6.0868347338935572E-3</v>
      </c>
      <c r="C16" s="24">
        <f t="shared" si="0"/>
        <v>0.97617086834733879</v>
      </c>
    </row>
    <row r="17" spans="1:3">
      <c r="A17" s="24" t="s">
        <v>60</v>
      </c>
      <c r="B17" s="24">
        <v>4.005602240896358E-3</v>
      </c>
      <c r="C17" s="24">
        <f t="shared" si="0"/>
        <v>0.9801764705882352</v>
      </c>
    </row>
    <row r="18" spans="1:3">
      <c r="A18" s="24" t="s">
        <v>64</v>
      </c>
      <c r="B18" s="24">
        <v>2.8571428571428567E-3</v>
      </c>
      <c r="C18" s="24">
        <f t="shared" si="0"/>
        <v>0.9830336134453781</v>
      </c>
    </row>
    <row r="19" spans="1:3">
      <c r="A19" s="24" t="s">
        <v>18</v>
      </c>
      <c r="B19" s="24">
        <v>2.3109243697478988E-3</v>
      </c>
      <c r="C19" s="24">
        <f t="shared" si="0"/>
        <v>0.98534453781512599</v>
      </c>
    </row>
    <row r="20" spans="1:3">
      <c r="A20" s="24" t="s">
        <v>27</v>
      </c>
      <c r="B20" s="24">
        <v>2.2857142857142855E-3</v>
      </c>
      <c r="C20" s="24">
        <f t="shared" si="0"/>
        <v>0.98763025210084032</v>
      </c>
    </row>
    <row r="21" spans="1:3">
      <c r="A21" s="24" t="s">
        <v>23</v>
      </c>
      <c r="B21" s="24">
        <v>1.6498599439775906E-3</v>
      </c>
      <c r="C21" s="24">
        <f t="shared" si="0"/>
        <v>0.98928011204481792</v>
      </c>
    </row>
    <row r="22" spans="1:3">
      <c r="A22" s="23" t="s">
        <v>20</v>
      </c>
      <c r="B22" s="24">
        <v>1.5238095238095239E-3</v>
      </c>
      <c r="C22" s="24">
        <f t="shared" si="0"/>
        <v>0.9908039215686274</v>
      </c>
    </row>
    <row r="23" spans="1:3">
      <c r="A23" s="24" t="s">
        <v>59</v>
      </c>
      <c r="B23" s="24">
        <v>1.2324929971988794E-3</v>
      </c>
      <c r="C23" s="24">
        <f t="shared" si="0"/>
        <v>0.99203641456582625</v>
      </c>
    </row>
    <row r="24" spans="1:3">
      <c r="A24" s="24" t="s">
        <v>65</v>
      </c>
      <c r="B24" s="24">
        <v>1.1764705882352942E-3</v>
      </c>
      <c r="C24" s="24">
        <f t="shared" si="0"/>
        <v>0.99321288515406159</v>
      </c>
    </row>
    <row r="25" spans="1:3">
      <c r="A25" s="24" t="s">
        <v>63</v>
      </c>
      <c r="B25" s="24">
        <v>9.8739495798319315E-4</v>
      </c>
      <c r="C25" s="24">
        <f t="shared" si="0"/>
        <v>0.99420028011204475</v>
      </c>
    </row>
    <row r="26" spans="1:3">
      <c r="A26" s="23" t="s">
        <v>61</v>
      </c>
      <c r="B26" s="24">
        <v>9.1876750700280109E-4</v>
      </c>
      <c r="C26" s="24">
        <f t="shared" si="0"/>
        <v>0.99511904761904757</v>
      </c>
    </row>
    <row r="27" spans="1:3">
      <c r="A27" s="24" t="s">
        <v>24</v>
      </c>
      <c r="B27" s="24">
        <v>9.1876750700280109E-4</v>
      </c>
      <c r="C27" s="24">
        <f t="shared" si="0"/>
        <v>0.99603781512605039</v>
      </c>
    </row>
    <row r="28" spans="1:3">
      <c r="A28" s="24" t="s">
        <v>34</v>
      </c>
      <c r="B28" s="24">
        <v>8.8235294117647062E-4</v>
      </c>
      <c r="C28" s="24">
        <f t="shared" si="0"/>
        <v>0.99692016806722683</v>
      </c>
    </row>
    <row r="29" spans="1:3">
      <c r="A29" s="24" t="s">
        <v>62</v>
      </c>
      <c r="B29" s="24">
        <v>8.8095238095238081E-4</v>
      </c>
      <c r="C29" s="24">
        <f t="shared" si="0"/>
        <v>0.99780112044817926</v>
      </c>
    </row>
    <row r="30" spans="1:3">
      <c r="A30" s="24" t="s">
        <v>31</v>
      </c>
      <c r="B30" s="24">
        <v>6.3025210084033606E-4</v>
      </c>
      <c r="C30" s="24">
        <f t="shared" si="0"/>
        <v>0.99843137254901959</v>
      </c>
    </row>
    <row r="31" spans="1:3">
      <c r="A31" s="24" t="s">
        <v>33</v>
      </c>
      <c r="B31" s="24">
        <v>5.8823529411764701E-4</v>
      </c>
      <c r="C31" s="24">
        <f t="shared" si="0"/>
        <v>0.99901960784313726</v>
      </c>
    </row>
    <row r="32" spans="1:3">
      <c r="A32" s="24" t="s">
        <v>25</v>
      </c>
      <c r="B32" s="24">
        <v>3.6414565826330526E-4</v>
      </c>
      <c r="C32" s="24">
        <f t="shared" si="0"/>
        <v>0.99938375350140052</v>
      </c>
    </row>
    <row r="33" spans="1:3">
      <c r="A33" s="24" t="s">
        <v>67</v>
      </c>
      <c r="B33" s="24">
        <v>2.5210084033613445E-4</v>
      </c>
      <c r="C33" s="24">
        <f t="shared" si="0"/>
        <v>0.99963585434173663</v>
      </c>
    </row>
    <row r="34" spans="1:3">
      <c r="A34" s="24" t="s">
        <v>32</v>
      </c>
      <c r="B34" s="24">
        <v>1.9607843137254901E-4</v>
      </c>
      <c r="C34" s="24">
        <f t="shared" si="0"/>
        <v>0.99983193277310922</v>
      </c>
    </row>
    <row r="35" spans="1:3">
      <c r="A35" s="24" t="s">
        <v>36</v>
      </c>
      <c r="B35" s="24">
        <v>1.7507002801120448E-4</v>
      </c>
      <c r="C35" s="24">
        <f t="shared" si="0"/>
        <v>1.0000070028011205</v>
      </c>
    </row>
    <row r="36" spans="1:3">
      <c r="A36" s="23" t="s">
        <v>28</v>
      </c>
      <c r="B36" s="24">
        <v>9.8039215686274506E-5</v>
      </c>
      <c r="C36" s="24">
        <f t="shared" si="0"/>
        <v>1.0001050420168067</v>
      </c>
    </row>
    <row r="37" spans="1:3">
      <c r="A37" s="24" t="s">
        <v>66</v>
      </c>
      <c r="B37" s="24">
        <v>4.3417366946778703E-5</v>
      </c>
      <c r="C37" s="24">
        <f t="shared" si="0"/>
        <v>1.0001484593837535</v>
      </c>
    </row>
  </sheetData>
  <autoFilter ref="A1:C1">
    <sortState ref="A2:C37">
      <sortCondition descending="1" ref="B1"/>
    </sortState>
  </autoFilter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29"/>
  <sheetViews>
    <sheetView topLeftCell="A13" workbookViewId="0">
      <selection sqref="A1:C29"/>
    </sheetView>
  </sheetViews>
  <sheetFormatPr defaultColWidth="13" defaultRowHeight="14.5"/>
  <cols>
    <col min="2" max="2" width="12" bestFit="1" customWidth="1"/>
    <col min="3" max="3" width="12.08984375" bestFit="1" customWidth="1"/>
  </cols>
  <sheetData>
    <row r="1" spans="1:3" ht="15" thickBot="1">
      <c r="A1" s="26" t="s">
        <v>2</v>
      </c>
      <c r="B1" s="27" t="s">
        <v>0</v>
      </c>
      <c r="C1" s="27" t="s">
        <v>1</v>
      </c>
    </row>
    <row r="2" spans="1:3" ht="29.5" thickBot="1">
      <c r="A2" s="28" t="s">
        <v>40</v>
      </c>
      <c r="B2" s="29">
        <v>0.1822</v>
      </c>
      <c r="C2" s="29">
        <f>B2</f>
        <v>0.1822</v>
      </c>
    </row>
    <row r="3" spans="1:3" ht="15" thickBot="1">
      <c r="A3" s="28" t="s">
        <v>38</v>
      </c>
      <c r="B3" s="29">
        <v>0.15559999999999999</v>
      </c>
      <c r="C3" s="29">
        <f>B3+C2</f>
        <v>0.33779999999999999</v>
      </c>
    </row>
    <row r="4" spans="1:3" ht="29.5" thickBot="1">
      <c r="A4" s="28" t="s">
        <v>39</v>
      </c>
      <c r="B4" s="30">
        <v>0.115</v>
      </c>
      <c r="C4" s="29">
        <f t="shared" ref="C4:C29" si="0">B4+C3</f>
        <v>0.45279999999999998</v>
      </c>
    </row>
    <row r="5" spans="1:3" ht="15" thickBot="1">
      <c r="A5" s="28" t="s">
        <v>44</v>
      </c>
      <c r="B5" s="30">
        <v>0.115</v>
      </c>
      <c r="C5" s="29">
        <f t="shared" si="0"/>
        <v>0.56779999999999997</v>
      </c>
    </row>
    <row r="6" spans="1:3" ht="15" thickBot="1">
      <c r="A6" s="28" t="s">
        <v>49</v>
      </c>
      <c r="B6" s="29">
        <v>8.1699999999999995E-2</v>
      </c>
      <c r="C6" s="29">
        <f t="shared" si="0"/>
        <v>0.64949999999999997</v>
      </c>
    </row>
    <row r="7" spans="1:3" ht="29.5" thickBot="1">
      <c r="A7" s="28" t="s">
        <v>47</v>
      </c>
      <c r="B7" s="29">
        <v>7.2999999999999995E-2</v>
      </c>
      <c r="C7" s="29">
        <f t="shared" si="0"/>
        <v>0.72249999999999992</v>
      </c>
    </row>
    <row r="8" spans="1:3" ht="29.5" thickBot="1">
      <c r="A8" s="28" t="s">
        <v>52</v>
      </c>
      <c r="B8" s="29">
        <v>6.3700000000000007E-2</v>
      </c>
      <c r="C8" s="29">
        <f t="shared" si="0"/>
        <v>0.7861999999999999</v>
      </c>
    </row>
    <row r="9" spans="1:3" ht="29.5" thickBot="1">
      <c r="A9" s="28" t="s">
        <v>45</v>
      </c>
      <c r="B9" s="29">
        <v>6.0299999999999999E-2</v>
      </c>
      <c r="C9" s="29">
        <f t="shared" si="0"/>
        <v>0.84649999999999992</v>
      </c>
    </row>
    <row r="10" spans="1:3" ht="29.5" thickBot="1">
      <c r="A10" s="28" t="s">
        <v>48</v>
      </c>
      <c r="B10" s="29">
        <v>4.9200000000000001E-2</v>
      </c>
      <c r="C10" s="29">
        <f t="shared" si="0"/>
        <v>0.89569999999999994</v>
      </c>
    </row>
    <row r="11" spans="1:3" ht="29.5" thickBot="1">
      <c r="A11" s="28" t="s">
        <v>46</v>
      </c>
      <c r="B11" s="30">
        <v>3.2800000000000003E-2</v>
      </c>
      <c r="C11" s="29">
        <f t="shared" si="0"/>
        <v>0.92849999999999999</v>
      </c>
    </row>
    <row r="12" spans="1:3" ht="15" thickBot="1">
      <c r="A12" s="30" t="s">
        <v>35</v>
      </c>
      <c r="B12" s="30">
        <v>2.29E-2</v>
      </c>
      <c r="C12" s="29">
        <f t="shared" si="0"/>
        <v>0.95140000000000002</v>
      </c>
    </row>
    <row r="13" spans="1:3" ht="15" thickBot="1">
      <c r="A13" s="30" t="s">
        <v>26</v>
      </c>
      <c r="B13" s="30">
        <v>1.54E-2</v>
      </c>
      <c r="C13" s="29">
        <f t="shared" si="0"/>
        <v>0.96679999999999999</v>
      </c>
    </row>
    <row r="14" spans="1:3" ht="26.5" thickBot="1">
      <c r="A14" s="31" t="s">
        <v>22</v>
      </c>
      <c r="B14" s="30">
        <v>7.6E-3</v>
      </c>
      <c r="C14" s="29">
        <f t="shared" si="0"/>
        <v>0.97440000000000004</v>
      </c>
    </row>
    <row r="15" spans="1:3" ht="15" thickBot="1">
      <c r="A15" s="31" t="s">
        <v>20</v>
      </c>
      <c r="B15" s="30">
        <v>4.4000000000000003E-3</v>
      </c>
      <c r="C15" s="29">
        <f t="shared" si="0"/>
        <v>0.9788</v>
      </c>
    </row>
    <row r="16" spans="1:3" ht="26.5" thickBot="1">
      <c r="A16" s="31" t="s">
        <v>21</v>
      </c>
      <c r="B16" s="30">
        <v>3.8999999999999998E-3</v>
      </c>
      <c r="C16" s="29">
        <f t="shared" si="0"/>
        <v>0.98270000000000002</v>
      </c>
    </row>
    <row r="17" spans="1:3" ht="15" thickBot="1">
      <c r="A17" s="31" t="s">
        <v>23</v>
      </c>
      <c r="B17" s="30">
        <v>3.8999999999999998E-3</v>
      </c>
      <c r="C17" s="29">
        <f t="shared" si="0"/>
        <v>0.98660000000000003</v>
      </c>
    </row>
    <row r="18" spans="1:3" ht="15" thickBot="1">
      <c r="A18" s="32" t="s">
        <v>34</v>
      </c>
      <c r="B18" s="32">
        <v>2.8E-3</v>
      </c>
      <c r="C18" s="32">
        <f t="shared" si="0"/>
        <v>0.98940000000000006</v>
      </c>
    </row>
    <row r="19" spans="1:3" ht="15" thickBot="1">
      <c r="A19" s="32" t="s">
        <v>27</v>
      </c>
      <c r="B19" s="32">
        <v>2.0999999999999999E-3</v>
      </c>
      <c r="C19" s="32">
        <f t="shared" si="0"/>
        <v>0.99150000000000005</v>
      </c>
    </row>
    <row r="20" spans="1:3" ht="15" thickBot="1">
      <c r="A20" s="32" t="s">
        <v>31</v>
      </c>
      <c r="B20" s="32">
        <v>1.1999999999999999E-3</v>
      </c>
      <c r="C20" s="32">
        <f t="shared" si="0"/>
        <v>0.99270000000000003</v>
      </c>
    </row>
    <row r="21" spans="1:3" ht="15" thickBot="1">
      <c r="A21" s="32" t="s">
        <v>32</v>
      </c>
      <c r="B21" s="32">
        <v>1.1999999999999999E-3</v>
      </c>
      <c r="C21" s="32">
        <f t="shared" si="0"/>
        <v>0.99390000000000001</v>
      </c>
    </row>
    <row r="22" spans="1:3" ht="15" thickBot="1">
      <c r="A22" s="32" t="s">
        <v>36</v>
      </c>
      <c r="B22" s="32">
        <v>5.9999999999999995E-4</v>
      </c>
      <c r="C22" s="32">
        <f t="shared" si="0"/>
        <v>0.99450000000000005</v>
      </c>
    </row>
    <row r="23" spans="1:3" ht="15" thickBot="1">
      <c r="A23" s="32" t="s">
        <v>28</v>
      </c>
      <c r="B23" s="32">
        <v>5.0000000000000001E-4</v>
      </c>
      <c r="C23" s="32">
        <f t="shared" si="0"/>
        <v>0.995</v>
      </c>
    </row>
    <row r="24" spans="1:3" ht="15" thickBot="1">
      <c r="A24" s="32" t="s">
        <v>29</v>
      </c>
      <c r="B24" s="32">
        <v>5.0000000000000001E-4</v>
      </c>
      <c r="C24" s="32">
        <f t="shared" si="0"/>
        <v>0.99549999999999994</v>
      </c>
    </row>
    <row r="25" spans="1:3" ht="29.5" thickBot="1">
      <c r="A25" s="32" t="s">
        <v>18</v>
      </c>
      <c r="B25" s="32">
        <v>4.0000000000000002E-4</v>
      </c>
      <c r="C25" s="32">
        <f t="shared" si="0"/>
        <v>0.9958999999999999</v>
      </c>
    </row>
    <row r="26" spans="1:3" ht="15" thickBot="1">
      <c r="A26" s="32" t="s">
        <v>25</v>
      </c>
      <c r="B26" s="32">
        <v>4.0000000000000002E-4</v>
      </c>
      <c r="C26" s="32">
        <f t="shared" si="0"/>
        <v>0.99629999999999985</v>
      </c>
    </row>
    <row r="27" spans="1:3" ht="15" thickBot="1">
      <c r="A27" s="32" t="s">
        <v>24</v>
      </c>
      <c r="B27" s="32">
        <v>0</v>
      </c>
      <c r="C27" s="32">
        <f t="shared" si="0"/>
        <v>0.99629999999999985</v>
      </c>
    </row>
    <row r="28" spans="1:3" ht="15" thickBot="1">
      <c r="A28" s="32" t="s">
        <v>30</v>
      </c>
      <c r="B28" s="32">
        <v>0</v>
      </c>
      <c r="C28" s="32">
        <f t="shared" si="0"/>
        <v>0.99629999999999985</v>
      </c>
    </row>
    <row r="29" spans="1:3" ht="15" thickBot="1">
      <c r="A29" s="32" t="s">
        <v>33</v>
      </c>
      <c r="B29" s="32">
        <v>0</v>
      </c>
      <c r="C29" s="32">
        <f t="shared" si="0"/>
        <v>0.99629999999999985</v>
      </c>
    </row>
  </sheetData>
  <autoFilter ref="A1:C1">
    <sortState ref="A2:C29">
      <sortCondition descending="1" ref="B1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DeviceOSBrowserStatistics</vt:lpstr>
      <vt:lpstr>Sheet2</vt:lpstr>
      <vt:lpstr>Sheet1</vt:lpstr>
    </vt:vector>
  </TitlesOfParts>
  <Company>test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javed_a</cp:lastModifiedBy>
  <dcterms:created xsi:type="dcterms:W3CDTF">2016-05-16T19:44:42Z</dcterms:created>
  <dcterms:modified xsi:type="dcterms:W3CDTF">2017-09-20T15:25:59Z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1033-9.1.0.4550</vt:lpwstr>
  </property>
</Properties>
</file>